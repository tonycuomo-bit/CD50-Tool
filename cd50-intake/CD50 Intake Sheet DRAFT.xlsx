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take" sheetId="2" state="visible" r:id="rId2"/>
    <sheet xmlns:r="http://schemas.openxmlformats.org/officeDocument/2006/relationships" name="Derived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Lists" sheetId="5" state="visible" r:id="rId5"/>
  </sheets>
  <definedNames>
    <definedName name="L_YesNo">Lists!$A$2:$A$3</definedName>
    <definedName name="L_States">Lists!$B$2:$B$51</definedName>
    <definedName name="L_CabinetModel">Lists!$C$2:$C$4</definedName>
    <definedName name="L_PostModel">Lists!$D$2:$D$3</definedName>
    <definedName name="L_Nameplate">Lists!$E$2:$E$4</definedName>
    <definedName name="L_ServiceType">Lists!$F$2:$F$3</definedName>
    <definedName name="L_ServiceEquip">Lists!$G$2:$G$3</definedName>
    <definedName name="L_StdOCPD">Lists!$H$2:$H$14</definedName>
    <definedName name="L_StallLayout">Lists!$I$2:$I$5</definedName>
    <definedName name="L_ADAType">Lists!$J$2:$J$5</definedName>
    <definedName name="L_Foundation">Lists!$K$2:$K$5</definedName>
    <definedName name="L_PadType">Lists!$L$2:$L$3</definedName>
    <definedName name="L_Grounding">Lists!$M$2:$M$4</definedName>
    <definedName name="L_Stage">Lists!$N$2:$N$4</definedName>
    <definedName name="L_RiskCat">Lists!$O$2:$O$5</definedName>
    <definedName name="L_Exposure">Lists!$P$2:$P$4</definedName>
    <definedName name="L_SiteClass">Lists!$Q$2:$Q$7</definedName>
    <definedName name="site_name">Intake!$C$3</definedName>
    <definedName name="site_number">Intake!$C$4</definedName>
    <definedName name="jb_number">Intake!$C$5</definedName>
    <definedName name="trt">Intake!$C$6</definedName>
    <definedName name="apn">Intake!$C$7</definedName>
    <definedName name="stage">Intake!$C$8</definedName>
    <definedName name="rev">Intake!$C$9</definedName>
    <definedName name="rev_desc">Intake!$C$10</definedName>
    <definedName name="rev_date">Intake!$C$11</definedName>
    <definedName name="addr">Intake!$C$13</definedName>
    <definedName name="city">Intake!$C$14</definedName>
    <definedName name="state">Intake!$C$15</definedName>
    <definedName name="zip">Intake!$C$16</definedName>
    <definedName name="county">Intake!$C$17</definedName>
    <definedName name="ahj">Intake!$C$18</definedName>
    <definedName name="owner">Intake!$C$19</definedName>
    <definedName name="owner_addr">Intake!$C$20</definedName>
    <definedName name="host">Intake!$C$21</definedName>
    <definedName name="lat">Intake!$C$22</definedName>
    <definedName name="lon">Intake!$C$23</definedName>
    <definedName name="elev">Intake!$C$24</definedName>
    <definedName name="survey">Intake!$C$25</definedName>
    <definedName name="row_near">Intake!$C$26</definedName>
    <definedName name="ibc">Intake!$C$28</definedName>
    <definedName name="imc">Intake!$C$29</definedName>
    <definedName name="nec">Intake!$C$30</definedName>
    <definedName name="asce">Intake!$C$31</definedName>
    <definedName name="other_codes">Intake!$C$32</definedName>
    <definedName name="ae_firm">Intake!$C$34</definedName>
    <definedName name="ae_site_id">Intake!$C$35</definedName>
    <definedName name="designer">Intake!$C$36</definedName>
    <definedName name="eeor">Intake!$C$37</definedName>
    <definedName name="seor">Intake!$C$38</definedName>
    <definedName name="coa">Intake!$C$39</definedName>
    <definedName name="hion_pm">Intake!$C$40</definedName>
    <definedName name="tesla_pe">Intake!$C$41</definedName>
    <definedName name="cab_model">Intake!$C$43</definedName>
    <definedName name="cab_qty">Intake!$C$44</definedName>
    <definedName name="post_model">Intake!$C$45</definedName>
    <definedName name="post_qty">Intake!$C$46</definedName>
    <definedName name="nameplate">Intake!$C$47</definedName>
    <definedName name="setting_kva">Intake!$C$48</definedName>
    <definedName name="future_cab">Intake!$C$49</definedName>
    <definedName name="future_post">Intake!$C$50</definedName>
    <definedName name="lights">Intake!$C$51</definedName>
    <definedName name="trash">Intake!$C$52</definedName>
    <definedName name="svc_type">Intake!$C$54</definedName>
    <definedName name="utility">Intake!$C$55</definedName>
    <definedName name="volts">Intake!$C$56</definedName>
    <definedName name="xfmr_kva">Intake!$C$57</definedName>
    <definedName name="xfmr_z">Intake!$C$58</definedName>
    <definedName name="xfmr_by">Intake!$C$59</definedName>
    <definedName name="svc_equip">Intake!$C$60</definedName>
    <definedName name="svc_name">Intake!$C$61</definedName>
    <definedName name="svc_amps">Intake!$C$62</definedName>
    <definedName name="kaic">Intake!$C$63</definedName>
    <definedName name="ct_cab">Intake!$C$64</definedName>
    <definedName name="meter_loc">Intake!$C$65</definedName>
    <definedName name="disconnect">Intake!$C$66</definedName>
    <definedName name="ground">Intake!$C$67</definedName>
    <definedName name="ac_len">Intake!$C$68</definedName>
    <definedName name="dc_len">Intake!$C$69</definedName>
    <definedName name="layout">Intake!$C$71</definedName>
    <definedName name="stall_w">Intake!$C$72</definedName>
    <definedName name="stall_w_post">Intake!$C$73</definedName>
    <definedName name="stall_d">Intake!$C$74</definedName>
    <definedName name="aisle_w">Intake!$C$75</definedName>
    <definedName name="ada_qty">Intake!$C$76</definedName>
    <definedName name="ada_type">Intake!$C$77</definedName>
    <definedName name="ada_post">Intake!$C$78</definedName>
    <definedName name="bollards">Intake!$C$79</definedName>
    <definedName name="signs">Intake!$C$80</definedName>
    <definedName name="restripe">Intake!$C$81</definedName>
    <definedName name="foundation">Intake!$C$83</definedName>
    <definedName name="wind">Intake!$C$84</definedName>
    <definedName name="exposure">Intake!$C$85</definedName>
    <definedName name="risk">Intake!$C$86</definedName>
    <definedName name="snow">Intake!$C$87</definedName>
    <definedName name="pad">Intake!$C$88</definedName>
    <definedName name="site_class">Intake!$C$89</definedName>
    <definedName name="sdc">Intake!$C$90</definedName>
    <definedName name="bearing">Intake!$C$91</definedName>
    <definedName name="d_delivery">Intake!$C$93</definedName>
    <definedName name="d_construct">Intake!$C$94</definedName>
    <definedName name="d_commission">Intake!$C$95</definedName>
    <definedName name="d_otp">Intake!$C$96</definedName>
    <definedName name="np_kva">Derived!$B$2</definedName>
    <definedName name="np_amps">Derived!$B$3</definedName>
    <definedName name="np_weight">Derived!$B$4</definedName>
    <definedName name="set_amps">Derived!$B$5</definedName>
    <definedName name="derated">Derived!$B$6</definedName>
    <definedName name="ocpd_min">Derived!$B$7</definedName>
    <definedName name="ocpd">Derived!$B$8</definedName>
    <definedName name="sld_variant">Derived!$B$9</definedName>
    <definedName name="afc">Derived!$B$10</definedName>
    <definedName name="fuses">Derived!$B$11</definedName>
    <definedName name="tsc">Derived!$B$12</definedName>
    <definedName name="neutral">Derived!$B$13</definedName>
    <definedName name="posts_per_cab">Derived!$B$14</definedName>
    <definedName name="dc_conduits">Derived!$B$15</definedName>
    <definedName name="project_title">Derived!$B$16</definedName>
    <definedName name="scope_posts">Derived!$B$17</definedName>
    <definedName name="scope_cab">Derived!$B$18</definedName>
    <definedName name="scope_svc">Derived!$B$19</definedName>
    <definedName name="scope_bollards">Derived!$B$20</definedName>
    <definedName name="_xlnm._FilterDatabase" localSheetId="1" hidden="1">'Intake'!$A$1:$H$96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2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CD50 Intake Sheet (DRAFT)</t>
        </is>
      </c>
    </row>
    <row r="2">
      <c r="A2" s="2" t="inlineStr">
        <is>
          <t>One row per project fact. Fill the yellow Value column once; every CD50, CD90 and CD100 sheet reads from it.</t>
        </is>
      </c>
    </row>
    <row r="3">
      <c r="A3" s="2" t="inlineStr">
        <is>
          <t>Target format: Tesla V4 Templatized Plan Set (2026.09.21), 24x36, G/E/A/S numbering, plus SSC site info, general notes and specs.</t>
        </is>
      </c>
    </row>
    <row r="4">
      <c r="A4" s="2" t="inlineStr">
        <is>
          <t>Example values are from Cleveland TN CD100 Rev 1 (HP00125). Blank example cells were not on that set.</t>
        </is>
      </c>
    </row>
    <row r="5">
      <c r="A5" s="2" t="inlineStr"/>
    </row>
    <row r="6">
      <c r="A6" s="3" t="inlineStr">
        <is>
          <t>Tabs</t>
        </is>
      </c>
    </row>
    <row r="7">
      <c r="A7" s="2" t="inlineStr">
        <is>
          <t>Intake: the inputs. 'Needed by' says the first stage that needs the value.</t>
        </is>
      </c>
    </row>
    <row r="8">
      <c r="A8" s="2" t="inlineStr">
        <is>
          <t>Derived: values calculated from the inputs (currents, breaker size, SLD variant, fault current, weights, TSC rule).</t>
        </is>
      </c>
    </row>
    <row r="9">
      <c r="A9" s="2" t="inlineStr">
        <is>
          <t>Checks: pre-submission checks tied to Lessons Learned IDs. Formula checks show PASS / CHECK automatically; the rest are manual.</t>
        </is>
      </c>
    </row>
    <row r="10">
      <c r="A10" s="2" t="inlineStr">
        <is>
          <t>Lists: dropdown values. Edit here to change the choices.</t>
        </is>
      </c>
    </row>
    <row r="11">
      <c r="A11" s="2" t="inlineStr"/>
    </row>
    <row r="12">
      <c r="A12" s="2" t="inlineStr">
        <is>
          <t>Colors: yellow = input, green = calculated, do not type over green cells.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34" customWidth="1" min="3" max="3"/>
    <col width="16" customWidth="1" min="4" max="4"/>
    <col width="11" customWidth="1" min="5" max="5"/>
    <col width="20" customWidth="1" min="6" max="6"/>
    <col width="38" customWidth="1" min="7" max="7"/>
    <col width="60" customWidth="1" min="8" max="8"/>
  </cols>
  <sheetData>
    <row r="1">
      <c r="A1" s="4" t="inlineStr">
        <is>
          <t>Section</t>
        </is>
      </c>
      <c r="B1" s="4" t="inlineStr">
        <is>
          <t>Field</t>
        </is>
      </c>
      <c r="C1" s="4" t="inlineStr">
        <is>
          <t>Value</t>
        </is>
      </c>
      <c r="D1" s="4" t="inlineStr">
        <is>
          <t>Units / format</t>
        </is>
      </c>
      <c r="E1" s="4" t="inlineStr">
        <is>
          <t>Needed by</t>
        </is>
      </c>
      <c r="F1" s="4" t="inlineStr">
        <is>
          <t>Source</t>
        </is>
      </c>
      <c r="G1" s="4" t="inlineStr">
        <is>
          <t>Feeds</t>
        </is>
      </c>
      <c r="H1" s="4" t="inlineStr">
        <is>
          <t>Notes</t>
        </is>
      </c>
    </row>
    <row r="2">
      <c r="A2" s="5" t="inlineStr">
        <is>
          <t>Project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Project</t>
        </is>
      </c>
      <c r="B3" s="7" t="inlineStr">
        <is>
          <t>Applicant site name</t>
        </is>
      </c>
      <c r="C3" s="8" t="inlineStr">
        <is>
          <t>CLEVELAND TN</t>
        </is>
      </c>
      <c r="D3" s="7" t="inlineStr">
        <is>
          <t>Text</t>
        </is>
      </c>
      <c r="E3" s="7" t="inlineStr">
        <is>
          <t>CD50</t>
        </is>
      </c>
      <c r="F3" s="7" t="inlineStr">
        <is>
          <t>HiON</t>
        </is>
      </c>
      <c r="G3" s="7" t="inlineStr">
        <is>
          <t>Title block, G-001 title, placard</t>
        </is>
      </c>
      <c r="H3" s="7" t="inlineStr">
        <is>
          <t>Shown on every sheet</t>
        </is>
      </c>
    </row>
    <row r="4">
      <c r="A4" s="7" t="inlineStr">
        <is>
          <t>Project</t>
        </is>
      </c>
      <c r="B4" s="7" t="inlineStr">
        <is>
          <t>HiON site number</t>
        </is>
      </c>
      <c r="C4" s="8" t="inlineStr">
        <is>
          <t>HP00125</t>
        </is>
      </c>
      <c r="D4" s="7" t="inlineStr">
        <is>
          <t>HP#####</t>
        </is>
      </c>
      <c r="E4" s="7" t="inlineStr">
        <is>
          <t>CD50</t>
        </is>
      </c>
      <c r="F4" s="7" t="inlineStr">
        <is>
          <t>HiON</t>
        </is>
      </c>
      <c r="G4" s="7" t="inlineStr">
        <is>
          <t>Title block</t>
        </is>
      </c>
      <c r="H4" s="7" t="inlineStr">
        <is>
          <t>Use one format (HP00125 vs HP-00126 seen in sets)</t>
        </is>
      </c>
    </row>
    <row r="5">
      <c r="A5" s="7" t="inlineStr">
        <is>
          <t>Project</t>
        </is>
      </c>
      <c r="B5" s="7" t="inlineStr">
        <is>
          <t>Tesla job number (JB-)</t>
        </is>
      </c>
      <c r="C5" s="8" t="n"/>
      <c r="D5" s="7" t="inlineStr">
        <is>
          <t>JB-XXXXXXX-00</t>
        </is>
      </c>
      <c r="E5" s="7" t="inlineStr">
        <is>
          <t>CD90</t>
        </is>
      </c>
      <c r="F5" s="7" t="inlineStr">
        <is>
          <t>Tesla</t>
        </is>
      </c>
      <c r="G5" s="7" t="inlineStr">
        <is>
          <t>Title block</t>
        </is>
      </c>
      <c r="H5" s="7" t="inlineStr">
        <is>
          <t>Template sheet ID block</t>
        </is>
      </c>
    </row>
    <row r="6">
      <c r="A6" s="7" t="inlineStr">
        <is>
          <t>Project</t>
        </is>
      </c>
      <c r="B6" s="7" t="inlineStr">
        <is>
          <t>Tesla TRT number</t>
        </is>
      </c>
      <c r="C6" s="8" t="n"/>
      <c r="D6" s="7" t="inlineStr">
        <is>
          <t>Text</t>
        </is>
      </c>
      <c r="E6" s="7" t="inlineStr">
        <is>
          <t>CD90</t>
        </is>
      </c>
      <c r="F6" s="7" t="inlineStr">
        <is>
          <t>Tesla</t>
        </is>
      </c>
      <c r="G6" s="7" t="inlineStr">
        <is>
          <t>G-001 title</t>
        </is>
      </c>
      <c r="H6" s="7" t="n"/>
    </row>
    <row r="7">
      <c r="A7" s="7" t="inlineStr">
        <is>
          <t>Project</t>
        </is>
      </c>
      <c r="B7" s="7" t="inlineStr">
        <is>
          <t>APN (parcel number)</t>
        </is>
      </c>
      <c r="C7" s="8" t="n"/>
      <c r="D7" s="7" t="inlineStr">
        <is>
          <t>XXX-XXX-XXX-XXX</t>
        </is>
      </c>
      <c r="E7" s="7" t="inlineStr">
        <is>
          <t>CD50</t>
        </is>
      </c>
      <c r="F7" s="7" t="inlineStr">
        <is>
          <t>County records</t>
        </is>
      </c>
      <c r="G7" s="7" t="inlineStr">
        <is>
          <t>G-001 title</t>
        </is>
      </c>
      <c r="H7" s="7" t="n"/>
    </row>
    <row r="8">
      <c r="A8" s="7" t="inlineStr">
        <is>
          <t>Project</t>
        </is>
      </c>
      <c r="B8" s="7" t="inlineStr">
        <is>
          <t>Current stage</t>
        </is>
      </c>
      <c r="C8" s="8" t="inlineStr">
        <is>
          <t>CD100</t>
        </is>
      </c>
      <c r="D8" s="7" t="inlineStr">
        <is>
          <t>List</t>
        </is>
      </c>
      <c r="E8" s="7" t="inlineStr">
        <is>
          <t>CD50</t>
        </is>
      </c>
      <c r="F8" s="7" t="inlineStr">
        <is>
          <t>HiON</t>
        </is>
      </c>
      <c r="G8" s="7" t="inlineStr">
        <is>
          <t>Title block, revision table</t>
        </is>
      </c>
      <c r="H8" s="7" t="n"/>
    </row>
    <row r="9">
      <c r="A9" s="7" t="inlineStr">
        <is>
          <t>Project</t>
        </is>
      </c>
      <c r="B9" s="7" t="inlineStr">
        <is>
          <t>Revision number / letter</t>
        </is>
      </c>
      <c r="C9" s="8" t="n">
        <v>1</v>
      </c>
      <c r="D9" s="7" t="inlineStr">
        <is>
          <t>Text</t>
        </is>
      </c>
      <c r="E9" s="7" t="inlineStr">
        <is>
          <t>CD50</t>
        </is>
      </c>
      <c r="F9" s="7" t="inlineStr">
        <is>
          <t>SSC</t>
        </is>
      </c>
      <c r="G9" s="7" t="inlineStr">
        <is>
          <t>Title block, revision table</t>
        </is>
      </c>
      <c r="H9" s="7" t="inlineStr">
        <is>
          <t>A, B, C for review; 0 for permitting; 1+ after</t>
        </is>
      </c>
    </row>
    <row r="10">
      <c r="A10" s="7" t="inlineStr">
        <is>
          <t>Project</t>
        </is>
      </c>
      <c r="B10" s="7" t="inlineStr">
        <is>
          <t>Revision description</t>
        </is>
      </c>
      <c r="C10" s="8" t="inlineStr">
        <is>
          <t>REVISED PER CLIENT COMMENTS</t>
        </is>
      </c>
      <c r="D10" s="7" t="inlineStr">
        <is>
          <t>Text</t>
        </is>
      </c>
      <c r="E10" s="7" t="inlineStr">
        <is>
          <t>CD50</t>
        </is>
      </c>
      <c r="F10" s="7" t="inlineStr">
        <is>
          <t>SSC</t>
        </is>
      </c>
      <c r="G10" s="7" t="inlineStr">
        <is>
          <t>Revision table</t>
        </is>
      </c>
      <c r="H10" s="7" t="n"/>
    </row>
    <row r="11">
      <c r="A11" s="7" t="inlineStr">
        <is>
          <t>Project</t>
        </is>
      </c>
      <c r="B11" s="7" t="inlineStr">
        <is>
          <t>Revision date</t>
        </is>
      </c>
      <c r="C11" s="8" t="inlineStr">
        <is>
          <t>2026-10-15</t>
        </is>
      </c>
      <c r="D11" s="7" t="inlineStr">
        <is>
          <t>Date</t>
        </is>
      </c>
      <c r="E11" s="7" t="inlineStr">
        <is>
          <t>CD50</t>
        </is>
      </c>
      <c r="F11" s="7" t="inlineStr">
        <is>
          <t>SSC</t>
        </is>
      </c>
      <c r="G11" s="7" t="inlineStr">
        <is>
          <t>Revision table</t>
        </is>
      </c>
      <c r="H11" s="7" t="n"/>
    </row>
    <row r="12">
      <c r="A12" s="5" t="inlineStr">
        <is>
          <t>Site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7" t="inlineStr">
        <is>
          <t>Site</t>
        </is>
      </c>
      <c r="B13" s="7" t="inlineStr">
        <is>
          <t>Site street address</t>
        </is>
      </c>
      <c r="C13" s="8" t="inlineStr">
        <is>
          <t>4011 APD 40 SW</t>
        </is>
      </c>
      <c r="D13" s="7" t="inlineStr">
        <is>
          <t>Text</t>
        </is>
      </c>
      <c r="E13" s="7" t="inlineStr">
        <is>
          <t>CD50</t>
        </is>
      </c>
      <c r="F13" s="7" t="inlineStr">
        <is>
          <t>HiON</t>
        </is>
      </c>
      <c r="G13" s="7" t="inlineStr">
        <is>
          <t>Title block, G-001, placard</t>
        </is>
      </c>
      <c r="H13" s="7" t="n"/>
    </row>
    <row r="14">
      <c r="A14" s="7" t="inlineStr">
        <is>
          <t>Site</t>
        </is>
      </c>
      <c r="B14" s="7" t="inlineStr">
        <is>
          <t>City</t>
        </is>
      </c>
      <c r="C14" s="8" t="inlineStr">
        <is>
          <t>CLEVELAND</t>
        </is>
      </c>
      <c r="D14" s="7" t="inlineStr">
        <is>
          <t>Text</t>
        </is>
      </c>
      <c r="E14" s="7" t="inlineStr">
        <is>
          <t>CD50</t>
        </is>
      </c>
      <c r="F14" s="7" t="inlineStr">
        <is>
          <t>HiON</t>
        </is>
      </c>
      <c r="G14" s="7" t="inlineStr">
        <is>
          <t>Title block, G-001, placard</t>
        </is>
      </c>
      <c r="H14" s="7" t="n"/>
    </row>
    <row r="15">
      <c r="A15" s="7" t="inlineStr">
        <is>
          <t>Site</t>
        </is>
      </c>
      <c r="B15" s="7" t="inlineStr">
        <is>
          <t>State</t>
        </is>
      </c>
      <c r="C15" s="8" t="inlineStr">
        <is>
          <t>TN</t>
        </is>
      </c>
      <c r="D15" s="7" t="inlineStr">
        <is>
          <t>List</t>
        </is>
      </c>
      <c r="E15" s="7" t="inlineStr">
        <is>
          <t>CD50</t>
        </is>
      </c>
      <c r="F15" s="7" t="inlineStr">
        <is>
          <t>HiON</t>
        </is>
      </c>
      <c r="G15" s="7" t="inlineStr">
        <is>
          <t>Title block, code lookup, PE stamps</t>
        </is>
      </c>
      <c r="H15" s="7" t="n"/>
    </row>
    <row r="16">
      <c r="A16" s="7" t="inlineStr">
        <is>
          <t>Site</t>
        </is>
      </c>
      <c r="B16" s="7" t="inlineStr">
        <is>
          <t>ZIP</t>
        </is>
      </c>
      <c r="C16" s="8" t="n">
        <v>37311</v>
      </c>
      <c r="D16" s="7" t="inlineStr">
        <is>
          <t>Text</t>
        </is>
      </c>
      <c r="E16" s="7" t="inlineStr">
        <is>
          <t>CD50</t>
        </is>
      </c>
      <c r="F16" s="7" t="inlineStr">
        <is>
          <t>HiON</t>
        </is>
      </c>
      <c r="G16" s="7" t="inlineStr">
        <is>
          <t>Title block, placard</t>
        </is>
      </c>
      <c r="H16" s="7" t="n"/>
    </row>
    <row r="17">
      <c r="A17" s="7" t="inlineStr">
        <is>
          <t>Site</t>
        </is>
      </c>
      <c r="B17" s="7" t="inlineStr">
        <is>
          <t>County</t>
        </is>
      </c>
      <c r="C17" s="8" t="inlineStr">
        <is>
          <t>BRADLEY</t>
        </is>
      </c>
      <c r="D17" s="7" t="inlineStr">
        <is>
          <t>Text</t>
        </is>
      </c>
      <c r="E17" s="7" t="inlineStr">
        <is>
          <t>CD50</t>
        </is>
      </c>
      <c r="F17" s="7" t="inlineStr">
        <is>
          <t>County records</t>
        </is>
      </c>
      <c r="G17" s="7" t="inlineStr">
        <is>
          <t>G-001 site info</t>
        </is>
      </c>
      <c r="H17" s="7" t="n"/>
    </row>
    <row r="18">
      <c r="A18" s="7" t="inlineStr">
        <is>
          <t>Site</t>
        </is>
      </c>
      <c r="B18" s="7" t="inlineStr">
        <is>
          <t>AHJ (permitting jurisdiction)</t>
        </is>
      </c>
      <c r="C18" s="8" t="n"/>
      <c r="D18" s="7" t="inlineStr">
        <is>
          <t>Text</t>
        </is>
      </c>
      <c r="E18" s="7" t="inlineStr">
        <is>
          <t>CD50</t>
        </is>
      </c>
      <c r="F18" s="7" t="inlineStr">
        <is>
          <t>HiON</t>
        </is>
      </c>
      <c r="G18" s="7" t="inlineStr">
        <is>
          <t>G-001 codes, ADA type</t>
        </is>
      </c>
      <c r="H18" s="7" t="inlineStr">
        <is>
          <t>City or county that issues the permit</t>
        </is>
      </c>
    </row>
    <row r="19">
      <c r="A19" s="7" t="inlineStr">
        <is>
          <t>Site</t>
        </is>
      </c>
      <c r="B19" s="7" t="inlineStr">
        <is>
          <t>Property owner</t>
        </is>
      </c>
      <c r="C19" s="8" t="inlineStr">
        <is>
          <t>EXAMPLE PROPERTY OWNER LLC</t>
        </is>
      </c>
      <c r="D19" s="7" t="inlineStr">
        <is>
          <t>Text</t>
        </is>
      </c>
      <c r="E19" s="7" t="inlineStr">
        <is>
          <t>CD50</t>
        </is>
      </c>
      <c r="F19" s="7" t="inlineStr">
        <is>
          <t>County records</t>
        </is>
      </c>
      <c r="G19" s="7" t="inlineStr">
        <is>
          <t>G-001 site info, GN note 1</t>
        </is>
      </c>
      <c r="H19" s="7" t="n"/>
    </row>
    <row r="20">
      <c r="A20" s="7" t="inlineStr">
        <is>
          <t>Site</t>
        </is>
      </c>
      <c r="B20" s="7" t="inlineStr">
        <is>
          <t>Owner mailing address</t>
        </is>
      </c>
      <c r="C20" s="8" t="inlineStr">
        <is>
          <t>6155 STATE ROUTE 1241, HICKORY KY 42051</t>
        </is>
      </c>
      <c r="D20" s="7" t="inlineStr">
        <is>
          <t>Text</t>
        </is>
      </c>
      <c r="E20" s="7" t="inlineStr">
        <is>
          <t>CD50</t>
        </is>
      </c>
      <c r="F20" s="7" t="inlineStr">
        <is>
          <t>County records</t>
        </is>
      </c>
      <c r="G20" s="7" t="inlineStr">
        <is>
          <t>G-001 site info</t>
        </is>
      </c>
      <c r="H20" s="7" t="n"/>
    </row>
    <row r="21">
      <c r="A21" s="7" t="inlineStr">
        <is>
          <t>Site</t>
        </is>
      </c>
      <c r="B21" s="7" t="inlineStr">
        <is>
          <t>Host business / tenant</t>
        </is>
      </c>
      <c r="C21" s="8" t="n"/>
      <c r="D21" s="7" t="inlineStr">
        <is>
          <t>Text</t>
        </is>
      </c>
      <c r="E21" s="7" t="inlineStr">
        <is>
          <t>CD50</t>
        </is>
      </c>
      <c r="F21" s="7" t="inlineStr">
        <is>
          <t>HiON</t>
        </is>
      </c>
      <c r="G21" s="7" t="inlineStr">
        <is>
          <t>G-001</t>
        </is>
      </c>
      <c r="H21" s="7" t="inlineStr">
        <is>
          <t>e.g. Natural Grocers, Popeyes</t>
        </is>
      </c>
    </row>
    <row r="22">
      <c r="A22" s="7" t="inlineStr">
        <is>
          <t>Site</t>
        </is>
      </c>
      <c r="B22" s="7" t="inlineStr">
        <is>
          <t>Latitude (NAD 83)</t>
        </is>
      </c>
      <c r="C22" s="8" t="inlineStr">
        <is>
          <t>35° 8' 11.67" N</t>
        </is>
      </c>
      <c r="D22" s="7" t="inlineStr">
        <is>
          <t>DMS</t>
        </is>
      </c>
      <c r="E22" s="7" t="inlineStr">
        <is>
          <t>CD50</t>
        </is>
      </c>
      <c r="F22" s="7" t="inlineStr">
        <is>
          <t>Google Earth / survey</t>
        </is>
      </c>
      <c r="G22" s="7" t="inlineStr">
        <is>
          <t>G-001 site info</t>
        </is>
      </c>
      <c r="H22" s="7" t="n"/>
    </row>
    <row r="23">
      <c r="A23" s="7" t="inlineStr">
        <is>
          <t>Site</t>
        </is>
      </c>
      <c r="B23" s="7" t="inlineStr">
        <is>
          <t>Longitude (NAD 83)</t>
        </is>
      </c>
      <c r="C23" s="8" t="inlineStr">
        <is>
          <t>84° 54' 30.27" W</t>
        </is>
      </c>
      <c r="D23" s="7" t="inlineStr">
        <is>
          <t>DMS</t>
        </is>
      </c>
      <c r="E23" s="7" t="inlineStr">
        <is>
          <t>CD50</t>
        </is>
      </c>
      <c r="F23" s="7" t="inlineStr">
        <is>
          <t>Google Earth / survey</t>
        </is>
      </c>
      <c r="G23" s="7" t="inlineStr">
        <is>
          <t>G-001 site info</t>
        </is>
      </c>
      <c r="H23" s="7" t="n"/>
    </row>
    <row r="24">
      <c r="A24" s="7" t="inlineStr">
        <is>
          <t>Site</t>
        </is>
      </c>
      <c r="B24" s="7" t="inlineStr">
        <is>
          <t>Ground elevation</t>
        </is>
      </c>
      <c r="C24" s="8" t="n">
        <v>955</v>
      </c>
      <c r="D24" s="7" t="inlineStr">
        <is>
          <t>ft AMSL</t>
        </is>
      </c>
      <c r="E24" s="7" t="inlineStr">
        <is>
          <t>CD50</t>
        </is>
      </c>
      <c r="F24" s="7" t="inlineStr">
        <is>
          <t>Google Earth / survey</t>
        </is>
      </c>
      <c r="G24" s="7" t="inlineStr">
        <is>
          <t>G-001 site info</t>
        </is>
      </c>
      <c r="H24" s="7" t="n"/>
    </row>
    <row r="25">
      <c r="A25" s="7" t="inlineStr">
        <is>
          <t>Site</t>
        </is>
      </c>
      <c r="B25" s="7" t="inlineStr">
        <is>
          <t>Survey available (with underground utilities)</t>
        </is>
      </c>
      <c r="C25" s="8" t="n"/>
      <c r="D25" s="7" t="inlineStr">
        <is>
          <t>List</t>
        </is>
      </c>
      <c r="E25" s="7" t="inlineStr">
        <is>
          <t>CD90</t>
        </is>
      </c>
      <c r="F25" s="7" t="inlineStr">
        <is>
          <t>Surveyor</t>
        </is>
      </c>
      <c r="G25" s="7" t="inlineStr">
        <is>
          <t>Existing site plan</t>
        </is>
      </c>
      <c r="H25" s="7" t="inlineStr">
        <is>
          <t>L-036: survey must show underground lines and easements</t>
        </is>
      </c>
    </row>
    <row r="26">
      <c r="A26" s="7" t="inlineStr">
        <is>
          <t>Site</t>
        </is>
      </c>
      <c r="B26" s="7" t="inlineStr">
        <is>
          <t>Public right of way next to equipment area</t>
        </is>
      </c>
      <c r="C26" s="8" t="n"/>
      <c r="D26" s="7" t="inlineStr">
        <is>
          <t>List</t>
        </is>
      </c>
      <c r="E26" s="7" t="inlineStr">
        <is>
          <t>CD50</t>
        </is>
      </c>
      <c r="F26" s="7" t="inlineStr">
        <is>
          <t>Survey</t>
        </is>
      </c>
      <c r="G26" s="7" t="inlineStr">
        <is>
          <t>E-101 check</t>
        </is>
      </c>
      <c r="H26" s="7" t="inlineStr">
        <is>
          <t>L-007: cabinet clearance must stay out of public ROW</t>
        </is>
      </c>
    </row>
    <row r="27">
      <c r="A27" s="5" t="inlineStr">
        <is>
          <t>Codes</t>
        </is>
      </c>
      <c r="B27" s="6" t="n"/>
      <c r="C27" s="6" t="n"/>
      <c r="D27" s="6" t="n"/>
      <c r="E27" s="6" t="n"/>
      <c r="F27" s="6" t="n"/>
      <c r="G27" s="6" t="n"/>
      <c r="H27" s="6" t="n"/>
    </row>
    <row r="28">
      <c r="A28" s="7" t="inlineStr">
        <is>
          <t>Codes</t>
        </is>
      </c>
      <c r="B28" s="7" t="inlineStr">
        <is>
          <t>Building code edition (IBC)</t>
        </is>
      </c>
      <c r="C28" s="8" t="n">
        <v>2018</v>
      </c>
      <c r="D28" s="7" t="inlineStr">
        <is>
          <t>Year</t>
        </is>
      </c>
      <c r="E28" s="7" t="inlineStr">
        <is>
          <t>CD50</t>
        </is>
      </c>
      <c r="F28" s="7" t="inlineStr">
        <is>
          <t>AHJ lookup</t>
        </is>
      </c>
      <c r="G28" s="7" t="inlineStr">
        <is>
          <t>G-001 applicable codes</t>
        </is>
      </c>
      <c r="H28" s="7" t="inlineStr">
        <is>
          <t>Verify adopted edition; L-042</t>
        </is>
      </c>
    </row>
    <row r="29">
      <c r="A29" s="7" t="inlineStr">
        <is>
          <t>Codes</t>
        </is>
      </c>
      <c r="B29" s="7" t="inlineStr">
        <is>
          <t>Mechanical code edition (IMC)</t>
        </is>
      </c>
      <c r="C29" s="8" t="n">
        <v>2018</v>
      </c>
      <c r="D29" s="7" t="inlineStr">
        <is>
          <t>Year</t>
        </is>
      </c>
      <c r="E29" s="7" t="inlineStr">
        <is>
          <t>CD50</t>
        </is>
      </c>
      <c r="F29" s="7" t="inlineStr">
        <is>
          <t>AHJ lookup</t>
        </is>
      </c>
      <c r="G29" s="7" t="inlineStr">
        <is>
          <t>G-001 applicable codes</t>
        </is>
      </c>
      <c r="H29" s="7" t="n"/>
    </row>
    <row r="30">
      <c r="A30" s="7" t="inlineStr">
        <is>
          <t>Codes</t>
        </is>
      </c>
      <c r="B30" s="7" t="inlineStr">
        <is>
          <t>Electrical code edition (NEC)</t>
        </is>
      </c>
      <c r="C30" s="8" t="n">
        <v>2017</v>
      </c>
      <c r="D30" s="7" t="inlineStr">
        <is>
          <t>Year</t>
        </is>
      </c>
      <c r="E30" s="7" t="inlineStr">
        <is>
          <t>CD50</t>
        </is>
      </c>
      <c r="F30" s="7" t="inlineStr">
        <is>
          <t>AHJ lookup</t>
        </is>
      </c>
      <c r="G30" s="7" t="inlineStr">
        <is>
          <t>G-001 applicable codes, E sheets</t>
        </is>
      </c>
      <c r="H30" s="7" t="inlineStr">
        <is>
          <t>Cleveland sheet shows 2017; other V4 sets show 2023. Verify for TN</t>
        </is>
      </c>
    </row>
    <row r="31">
      <c r="A31" s="7" t="inlineStr">
        <is>
          <t>Codes</t>
        </is>
      </c>
      <c r="B31" s="7" t="inlineStr">
        <is>
          <t>ASCE 7 edition</t>
        </is>
      </c>
      <c r="C31" s="8" t="inlineStr">
        <is>
          <t>7-16</t>
        </is>
      </c>
      <c r="D31" s="7" t="inlineStr">
        <is>
          <t>Text</t>
        </is>
      </c>
      <c r="E31" s="7" t="inlineStr">
        <is>
          <t>CD50</t>
        </is>
      </c>
      <c r="F31" s="7" t="inlineStr">
        <is>
          <t>AHJ lookup</t>
        </is>
      </c>
      <c r="G31" s="7" t="inlineStr">
        <is>
          <t>G-001, S-501 design criteria</t>
        </is>
      </c>
      <c r="H31" s="7" t="n"/>
    </row>
    <row r="32">
      <c r="A32" s="7" t="inlineStr">
        <is>
          <t>Codes</t>
        </is>
      </c>
      <c r="B32" s="7" t="inlineStr">
        <is>
          <t>Other codes (state DOT, fire, energy)</t>
        </is>
      </c>
      <c r="C32" s="8" t="n"/>
      <c r="D32" s="7" t="inlineStr">
        <is>
          <t>Text</t>
        </is>
      </c>
      <c r="E32" s="7" t="inlineStr">
        <is>
          <t>CD50</t>
        </is>
      </c>
      <c r="F32" s="7" t="inlineStr">
        <is>
          <t>AHJ lookup</t>
        </is>
      </c>
      <c r="G32" s="7" t="inlineStr">
        <is>
          <t>G-001</t>
        </is>
      </c>
      <c r="H32" s="7" t="inlineStr">
        <is>
          <t>e.g. CDOT specifications on DTC</t>
        </is>
      </c>
    </row>
    <row r="33">
      <c r="A33" s="5" t="inlineStr">
        <is>
          <t>Team</t>
        </is>
      </c>
      <c r="B33" s="6" t="n"/>
      <c r="C33" s="6" t="n"/>
      <c r="D33" s="6" t="n"/>
      <c r="E33" s="6" t="n"/>
      <c r="F33" s="6" t="n"/>
      <c r="G33" s="6" t="n"/>
      <c r="H33" s="6" t="n"/>
    </row>
    <row r="34">
      <c r="A34" s="7" t="inlineStr">
        <is>
          <t>Team</t>
        </is>
      </c>
      <c r="B34" s="7" t="inlineStr">
        <is>
          <t>A&amp;E firm</t>
        </is>
      </c>
      <c r="C34" s="8" t="inlineStr">
        <is>
          <t>SSC, Inc.</t>
        </is>
      </c>
      <c r="D34" s="7" t="inlineStr">
        <is>
          <t>Text</t>
        </is>
      </c>
      <c r="E34" s="7" t="inlineStr">
        <is>
          <t>CD50</t>
        </is>
      </c>
      <c r="F34" s="7" t="inlineStr">
        <is>
          <t>HiON</t>
        </is>
      </c>
      <c r="G34" s="7" t="inlineStr">
        <is>
          <t>Title block (A&amp;E logo), G-001 team</t>
        </is>
      </c>
      <c r="H34" s="7" t="n"/>
    </row>
    <row r="35">
      <c r="A35" s="7" t="inlineStr">
        <is>
          <t>Team</t>
        </is>
      </c>
      <c r="B35" s="7" t="inlineStr">
        <is>
          <t>A&amp;E site ID / project ID</t>
        </is>
      </c>
      <c r="C35" s="8" t="inlineStr">
        <is>
          <t>SSC-32225 / P-074570</t>
        </is>
      </c>
      <c r="D35" s="7" t="inlineStr">
        <is>
          <t>Text</t>
        </is>
      </c>
      <c r="E35" s="7" t="inlineStr">
        <is>
          <t>CD50</t>
        </is>
      </c>
      <c r="F35" s="7" t="inlineStr">
        <is>
          <t>SSC</t>
        </is>
      </c>
      <c r="G35" s="7" t="inlineStr">
        <is>
          <t>G-001 team</t>
        </is>
      </c>
      <c r="H35" s="7" t="n"/>
    </row>
    <row r="36">
      <c r="A36" s="7" t="inlineStr">
        <is>
          <t>Team</t>
        </is>
      </c>
      <c r="B36" s="7" t="inlineStr">
        <is>
          <t>Project designer</t>
        </is>
      </c>
      <c r="C36" s="8" t="n"/>
      <c r="D36" s="7" t="inlineStr">
        <is>
          <t>Name</t>
        </is>
      </c>
      <c r="E36" s="7" t="inlineStr">
        <is>
          <t>CD50</t>
        </is>
      </c>
      <c r="F36" s="7" t="inlineStr">
        <is>
          <t>SSC</t>
        </is>
      </c>
      <c r="G36" s="7" t="inlineStr">
        <is>
          <t>G-001 team</t>
        </is>
      </c>
      <c r="H36" s="7" t="n"/>
    </row>
    <row r="37">
      <c r="A37" s="7" t="inlineStr">
        <is>
          <t>Team</t>
        </is>
      </c>
      <c r="B37" s="7" t="inlineStr">
        <is>
          <t>Electrical engineer of record (name, PE#)</t>
        </is>
      </c>
      <c r="C37" s="8" t="inlineStr">
        <is>
          <t>SHELTON D. KEISLING, 128109</t>
        </is>
      </c>
      <c r="D37" s="7" t="inlineStr">
        <is>
          <t>Name, PE#</t>
        </is>
      </c>
      <c r="E37" s="7" t="inlineStr">
        <is>
          <t>CD90</t>
        </is>
      </c>
      <c r="F37" s="7" t="inlineStr">
        <is>
          <t>SSC</t>
        </is>
      </c>
      <c r="G37" s="7" t="inlineStr">
        <is>
          <t>G-001 team, stamp</t>
        </is>
      </c>
      <c r="H37" s="7" t="inlineStr">
        <is>
          <t>PE number is state-specific</t>
        </is>
      </c>
    </row>
    <row r="38">
      <c r="A38" s="7" t="inlineStr">
        <is>
          <t>Team</t>
        </is>
      </c>
      <c r="B38" s="7" t="inlineStr">
        <is>
          <t>Structural / civil engineer of record (name, PE#)</t>
        </is>
      </c>
      <c r="C38" s="8" t="inlineStr">
        <is>
          <t>PETER C. LUNDQUIST, 127524</t>
        </is>
      </c>
      <c r="D38" s="7" t="inlineStr">
        <is>
          <t>Name, PE#</t>
        </is>
      </c>
      <c r="E38" s="7" t="inlineStr">
        <is>
          <t>CD90</t>
        </is>
      </c>
      <c r="F38" s="7" t="inlineStr">
        <is>
          <t>SSC</t>
        </is>
      </c>
      <c r="G38" s="7" t="inlineStr">
        <is>
          <t>G-001 team, stamp</t>
        </is>
      </c>
      <c r="H38" s="7" t="n"/>
    </row>
    <row r="39">
      <c r="A39" s="7" t="inlineStr">
        <is>
          <t>Team</t>
        </is>
      </c>
      <c r="B39" s="7" t="inlineStr">
        <is>
          <t>State certificate of authorization #</t>
        </is>
      </c>
      <c r="C39" s="8" t="n">
        <v>701658608</v>
      </c>
      <c r="D39" s="7" t="inlineStr">
        <is>
          <t>Text</t>
        </is>
      </c>
      <c r="E39" s="7" t="inlineStr">
        <is>
          <t>CD90</t>
        </is>
      </c>
      <c r="F39" s="7" t="inlineStr">
        <is>
          <t>SSC</t>
        </is>
      </c>
      <c r="G39" s="7" t="inlineStr">
        <is>
          <t>Title block</t>
        </is>
      </c>
      <c r="H39" s="7" t="n"/>
    </row>
    <row r="40">
      <c r="A40" s="7" t="inlineStr">
        <is>
          <t>Team</t>
        </is>
      </c>
      <c r="B40" s="7" t="inlineStr">
        <is>
          <t>HiON project manager / client manager</t>
        </is>
      </c>
      <c r="C40" s="8" t="inlineStr">
        <is>
          <t>EVAN AUBRY</t>
        </is>
      </c>
      <c r="D40" s="7" t="inlineStr">
        <is>
          <t>Name</t>
        </is>
      </c>
      <c r="E40" s="7" t="inlineStr">
        <is>
          <t>CD50</t>
        </is>
      </c>
      <c r="F40" s="7" t="inlineStr">
        <is>
          <t>HiON</t>
        </is>
      </c>
      <c r="G40" s="7" t="inlineStr">
        <is>
          <t>G-001 team</t>
        </is>
      </c>
      <c r="H40" s="7" t="n"/>
    </row>
    <row r="41">
      <c r="A41" s="7" t="inlineStr">
        <is>
          <t>Team</t>
        </is>
      </c>
      <c r="B41" s="7" t="inlineStr">
        <is>
          <t>Tesla project engineer (reviewer)</t>
        </is>
      </c>
      <c r="C41" s="8" t="inlineStr">
        <is>
          <t>Mike Stern</t>
        </is>
      </c>
      <c r="D41" s="7" t="inlineStr">
        <is>
          <t>Name</t>
        </is>
      </c>
      <c r="E41" s="7" t="inlineStr">
        <is>
          <t>CD50</t>
        </is>
      </c>
      <c r="F41" s="7" t="inlineStr">
        <is>
          <t>Tesla</t>
        </is>
      </c>
      <c r="G41" s="7" t="inlineStr">
        <is>
          <t>Review checklist, transmittal</t>
        </is>
      </c>
      <c r="H41" s="7" t="inlineStr">
        <is>
          <t>See Tesla Contacts tab in Review Index</t>
        </is>
      </c>
    </row>
    <row r="42">
      <c r="A42" s="5" t="inlineStr">
        <is>
          <t>Equipment</t>
        </is>
      </c>
      <c r="B42" s="6" t="n"/>
      <c r="C42" s="6" t="n"/>
      <c r="D42" s="6" t="n"/>
      <c r="E42" s="6" t="n"/>
      <c r="F42" s="6" t="n"/>
      <c r="G42" s="6" t="n"/>
      <c r="H42" s="6" t="n"/>
    </row>
    <row r="43">
      <c r="A43" s="7" t="inlineStr">
        <is>
          <t>Equipment</t>
        </is>
      </c>
      <c r="B43" s="7" t="inlineStr">
        <is>
          <t>Cabinet model</t>
        </is>
      </c>
      <c r="C43" s="8" t="inlineStr">
        <is>
          <t>V4</t>
        </is>
      </c>
      <c r="D43" s="7" t="inlineStr">
        <is>
          <t>List</t>
        </is>
      </c>
      <c r="E43" s="7" t="inlineStr">
        <is>
          <t>CD50</t>
        </is>
      </c>
      <c r="F43" s="7" t="inlineStr">
        <is>
          <t>Tesla contract</t>
        </is>
      </c>
      <c r="G43" s="7" t="inlineStr">
        <is>
          <t>All sheets: details, SLD, TSC rule</t>
        </is>
      </c>
      <c r="H43" s="7" t="inlineStr">
        <is>
          <t>L-012: must match contract throughout</t>
        </is>
      </c>
    </row>
    <row r="44">
      <c r="A44" s="7" t="inlineStr">
        <is>
          <t>Equipment</t>
        </is>
      </c>
      <c r="B44" s="7" t="inlineStr">
        <is>
          <t>Number of cabinets</t>
        </is>
      </c>
      <c r="C44" s="8" t="n">
        <v>1</v>
      </c>
      <c r="D44" s="7" t="inlineStr">
        <is>
          <t>Count</t>
        </is>
      </c>
      <c r="E44" s="7" t="inlineStr">
        <is>
          <t>CD50</t>
        </is>
      </c>
      <c r="F44" s="7" t="inlineStr">
        <is>
          <t>Tesla contract</t>
        </is>
      </c>
      <c r="G44" s="7" t="inlineStr">
        <is>
          <t>G-001 scope, E-101, SLD variant</t>
        </is>
      </c>
      <c r="H44" s="7" t="inlineStr">
        <is>
          <t>DC-BUS wording only with multiple cabinets (L-038)</t>
        </is>
      </c>
    </row>
    <row r="45">
      <c r="A45" s="7" t="inlineStr">
        <is>
          <t>Equipment</t>
        </is>
      </c>
      <c r="B45" s="7" t="inlineStr">
        <is>
          <t>Post model</t>
        </is>
      </c>
      <c r="C45" s="8" t="inlineStr">
        <is>
          <t>V4</t>
        </is>
      </c>
      <c r="D45" s="7" t="inlineStr">
        <is>
          <t>List</t>
        </is>
      </c>
      <c r="E45" s="7" t="inlineStr">
        <is>
          <t>CD50</t>
        </is>
      </c>
      <c r="F45" s="7" t="inlineStr">
        <is>
          <t>Tesla contract</t>
        </is>
      </c>
      <c r="G45" s="7" t="inlineStr">
        <is>
          <t>Details, foundations, stall layout</t>
        </is>
      </c>
      <c r="H45" s="7" t="n"/>
    </row>
    <row r="46">
      <c r="A46" s="7" t="inlineStr">
        <is>
          <t>Equipment</t>
        </is>
      </c>
      <c r="B46" s="7" t="inlineStr">
        <is>
          <t>Number of posts (total)</t>
        </is>
      </c>
      <c r="C46" s="8" t="n">
        <v>4</v>
      </c>
      <c r="D46" s="7" t="inlineStr">
        <is>
          <t>Count</t>
        </is>
      </c>
      <c r="E46" s="7" t="inlineStr">
        <is>
          <t>CD50</t>
        </is>
      </c>
      <c r="F46" s="7" t="inlineStr">
        <is>
          <t>Tesla contract</t>
        </is>
      </c>
      <c r="G46" s="7" t="inlineStr">
        <is>
          <t>G-001, E-101 stall schedule, SLD</t>
        </is>
      </c>
      <c r="H46" s="7" t="inlineStr">
        <is>
          <t>V4 cabinet supports up to 8 posts</t>
        </is>
      </c>
    </row>
    <row r="47">
      <c r="A47" s="7" t="inlineStr">
        <is>
          <t>Equipment</t>
        </is>
      </c>
      <c r="B47" s="7" t="inlineStr">
        <is>
          <t>Cabinet nameplate rating</t>
        </is>
      </c>
      <c r="C47" s="8" t="inlineStr">
        <is>
          <t>625 kVA / 750 A</t>
        </is>
      </c>
      <c r="D47" s="7" t="inlineStr">
        <is>
          <t>List</t>
        </is>
      </c>
      <c r="E47" s="7" t="inlineStr">
        <is>
          <t>CD50</t>
        </is>
      </c>
      <c r="F47" s="7" t="inlineStr">
        <is>
          <t>Tesla contract</t>
        </is>
      </c>
      <c r="G47" s="7" t="inlineStr">
        <is>
          <t>S-501 conduit window detail, weight</t>
        </is>
      </c>
      <c r="H47" s="7" t="inlineStr">
        <is>
          <t>Tesla V4 template variants: 625 / 998 / 1247 kVA</t>
        </is>
      </c>
    </row>
    <row r="48">
      <c r="A48" s="7" t="inlineStr">
        <is>
          <t>Equipment</t>
        </is>
      </c>
      <c r="B48" s="7" t="inlineStr">
        <is>
          <t>Commissioned input setting (kVA)</t>
        </is>
      </c>
      <c r="C48" s="8" t="n">
        <v>499</v>
      </c>
      <c r="D48" s="7" t="inlineStr">
        <is>
          <t>kVA</t>
        </is>
      </c>
      <c r="E48" s="7" t="inlineStr">
        <is>
          <t>CD50</t>
        </is>
      </c>
      <c r="F48" s="7" t="inlineStr">
        <is>
          <t>HiON / Tesla</t>
        </is>
      </c>
      <c r="G48" s="7" t="inlineStr">
        <is>
          <t>E-201 load schedule, cabinet spec table, derate table</t>
        </is>
      </c>
      <c r="H48" s="7" t="inlineStr">
        <is>
          <t>Software-limited at commissioning; equal to nameplate if not derated</t>
        </is>
      </c>
    </row>
    <row r="49">
      <c r="A49" s="7" t="inlineStr">
        <is>
          <t>Equipment</t>
        </is>
      </c>
      <c r="B49" s="7" t="inlineStr">
        <is>
          <t>Future cabinets planned</t>
        </is>
      </c>
      <c r="C49" s="8" t="n">
        <v>0</v>
      </c>
      <c r="D49" s="7" t="inlineStr">
        <is>
          <t>Count</t>
        </is>
      </c>
      <c r="E49" s="7" t="inlineStr">
        <is>
          <t>CD50</t>
        </is>
      </c>
      <c r="F49" s="7" t="inlineStr">
        <is>
          <t>HiON</t>
        </is>
      </c>
      <c r="G49" s="7" t="inlineStr">
        <is>
          <t>G-001 scope, conduit stub-ups</t>
        </is>
      </c>
      <c r="H49" s="7" t="inlineStr">
        <is>
          <t>L-013: state future count, stub conduits for known future posts</t>
        </is>
      </c>
    </row>
    <row r="50">
      <c r="A50" s="7" t="inlineStr">
        <is>
          <t>Equipment</t>
        </is>
      </c>
      <c r="B50" s="7" t="inlineStr">
        <is>
          <t>Future posts planned</t>
        </is>
      </c>
      <c r="C50" s="8" t="n">
        <v>0</v>
      </c>
      <c r="D50" s="7" t="inlineStr">
        <is>
          <t>Count</t>
        </is>
      </c>
      <c r="E50" s="7" t="inlineStr">
        <is>
          <t>CD50</t>
        </is>
      </c>
      <c r="F50" s="7" t="inlineStr">
        <is>
          <t>HiON</t>
        </is>
      </c>
      <c r="G50" s="7" t="inlineStr">
        <is>
          <t>E-101, stub-ups</t>
        </is>
      </c>
      <c r="H50" s="7" t="inlineStr">
        <is>
          <t>L-013</t>
        </is>
      </c>
    </row>
    <row r="51">
      <c r="A51" s="7" t="inlineStr">
        <is>
          <t>Equipment</t>
        </is>
      </c>
      <c r="B51" s="7" t="inlineStr">
        <is>
          <t>New light fixtures</t>
        </is>
      </c>
      <c r="C51" s="8" t="n">
        <v>0</v>
      </c>
      <c r="D51" s="7" t="inlineStr">
        <is>
          <t>Count</t>
        </is>
      </c>
      <c r="E51" s="7" t="inlineStr">
        <is>
          <t>CD50</t>
        </is>
      </c>
      <c r="F51" s="7" t="inlineStr">
        <is>
          <t>HiON</t>
        </is>
      </c>
      <c r="G51" s="7" t="inlineStr">
        <is>
          <t>E-201 lighting circuit, E-101</t>
        </is>
      </c>
      <c r="H51" s="7" t="inlineStr">
        <is>
          <t>Template includes (2) LGT</t>
        </is>
      </c>
    </row>
    <row r="52">
      <c r="A52" s="7" t="inlineStr">
        <is>
          <t>Equipment</t>
        </is>
      </c>
      <c r="B52" s="7" t="inlineStr">
        <is>
          <t>Trash / recycle bins</t>
        </is>
      </c>
      <c r="C52" s="8" t="n">
        <v>0</v>
      </c>
      <c r="D52" s="7" t="inlineStr">
        <is>
          <t>Count</t>
        </is>
      </c>
      <c r="E52" s="7" t="inlineStr">
        <is>
          <t>CD50</t>
        </is>
      </c>
      <c r="F52" s="7" t="inlineStr">
        <is>
          <t>HiON</t>
        </is>
      </c>
      <c r="G52" s="7" t="inlineStr">
        <is>
          <t>E-101</t>
        </is>
      </c>
      <c r="H52" s="7" t="inlineStr">
        <is>
          <t>L-030: Tesla recommends</t>
        </is>
      </c>
    </row>
    <row r="53">
      <c r="A53" s="5" t="inlineStr">
        <is>
          <t>Electrical</t>
        </is>
      </c>
      <c r="B53" s="6" t="n"/>
      <c r="C53" s="6" t="n"/>
      <c r="D53" s="6" t="n"/>
      <c r="E53" s="6" t="n"/>
      <c r="F53" s="6" t="n"/>
      <c r="G53" s="6" t="n"/>
      <c r="H53" s="6" t="n"/>
    </row>
    <row r="54">
      <c r="A54" s="7" t="inlineStr">
        <is>
          <t>Electrical</t>
        </is>
      </c>
      <c r="B54" s="7" t="inlineStr">
        <is>
          <t>New or existing service</t>
        </is>
      </c>
      <c r="C54" s="8" t="inlineStr">
        <is>
          <t>New service</t>
        </is>
      </c>
      <c r="D54" s="7" t="inlineStr">
        <is>
          <t>List</t>
        </is>
      </c>
      <c r="E54" s="7" t="inlineStr">
        <is>
          <t>CD50</t>
        </is>
      </c>
      <c r="F54" s="7" t="inlineStr">
        <is>
          <t>Utility</t>
        </is>
      </c>
      <c r="G54" s="7" t="inlineStr">
        <is>
          <t>G-001 scope matrix, SLD</t>
        </is>
      </c>
      <c r="H54" s="7" t="inlineStr">
        <is>
          <t>Also a Tesla checklist field</t>
        </is>
      </c>
    </row>
    <row r="55">
      <c r="A55" s="7" t="inlineStr">
        <is>
          <t>Electrical</t>
        </is>
      </c>
      <c r="B55" s="7" t="inlineStr">
        <is>
          <t>Electric utility</t>
        </is>
      </c>
      <c r="C55" s="8" t="n"/>
      <c r="D55" s="7" t="inlineStr">
        <is>
          <t>Text</t>
        </is>
      </c>
      <c r="E55" s="7" t="inlineStr">
        <is>
          <t>CD50</t>
        </is>
      </c>
      <c r="F55" s="7" t="inlineStr">
        <is>
          <t>Utility</t>
        </is>
      </c>
      <c r="G55" s="7" t="inlineStr">
        <is>
          <t>Utility notes, scope matrix</t>
        </is>
      </c>
      <c r="H55" s="7" t="n"/>
    </row>
    <row r="56">
      <c r="A56" s="7" t="inlineStr">
        <is>
          <t>Electrical</t>
        </is>
      </c>
      <c r="B56" s="7" t="inlineStr">
        <is>
          <t>Service voltage</t>
        </is>
      </c>
      <c r="C56" s="8" t="inlineStr">
        <is>
          <t>480Y/277V 3PH 4W</t>
        </is>
      </c>
      <c r="D56" s="7" t="inlineStr">
        <is>
          <t>Text</t>
        </is>
      </c>
      <c r="E56" s="7" t="inlineStr">
        <is>
          <t>CD50</t>
        </is>
      </c>
      <c r="F56" s="7" t="inlineStr">
        <is>
          <t>Utility</t>
        </is>
      </c>
      <c r="G56" s="7" t="inlineStr">
        <is>
          <t>SLD, panel schedule</t>
        </is>
      </c>
      <c r="H56" s="7" t="inlineStr">
        <is>
          <t>Template assumes 480Y/277V</t>
        </is>
      </c>
    </row>
    <row r="57">
      <c r="A57" s="7" t="inlineStr">
        <is>
          <t>Electrical</t>
        </is>
      </c>
      <c r="B57" s="7" t="inlineStr">
        <is>
          <t>Utility transformer size</t>
        </is>
      </c>
      <c r="C57" s="8" t="n"/>
      <c r="D57" s="7" t="inlineStr">
        <is>
          <t>kVA</t>
        </is>
      </c>
      <c r="E57" s="7" t="inlineStr">
        <is>
          <t>CD90</t>
        </is>
      </c>
      <c r="F57" s="7" t="inlineStr">
        <is>
          <t>Utility</t>
        </is>
      </c>
      <c r="G57" s="7" t="inlineStr">
        <is>
          <t>SLD AFC note, fault current</t>
        </is>
      </c>
      <c r="H57" s="7" t="inlineStr">
        <is>
          <t>Template sample: 2000 kVA</t>
        </is>
      </c>
    </row>
    <row r="58">
      <c r="A58" s="7" t="inlineStr">
        <is>
          <t>Electrical</t>
        </is>
      </c>
      <c r="B58" s="7" t="inlineStr">
        <is>
          <t>Transformer impedance</t>
        </is>
      </c>
      <c r="C58" s="8" t="n"/>
      <c r="D58" s="7" t="inlineStr">
        <is>
          <t>%Z</t>
        </is>
      </c>
      <c r="E58" s="7" t="inlineStr">
        <is>
          <t>CD90</t>
        </is>
      </c>
      <c r="F58" s="7" t="inlineStr">
        <is>
          <t>Utility</t>
        </is>
      </c>
      <c r="G58" s="7" t="inlineStr">
        <is>
          <t>SLD AFC note</t>
        </is>
      </c>
      <c r="H58" s="7" t="inlineStr">
        <is>
          <t>Template sample: 5.75%; Tesla asked for this (L-039)</t>
        </is>
      </c>
    </row>
    <row r="59">
      <c r="A59" s="7" t="inlineStr">
        <is>
          <t>Electrical</t>
        </is>
      </c>
      <c r="B59" s="7" t="inlineStr">
        <is>
          <t>Transformer and pad provided by</t>
        </is>
      </c>
      <c r="C59" s="8" t="inlineStr">
        <is>
          <t>Utility</t>
        </is>
      </c>
      <c r="D59" s="7" t="inlineStr">
        <is>
          <t>Text</t>
        </is>
      </c>
      <c r="E59" s="7" t="inlineStr">
        <is>
          <t>CD50</t>
        </is>
      </c>
      <c r="F59" s="7" t="inlineStr">
        <is>
          <t>Utility</t>
        </is>
      </c>
      <c r="G59" s="7" t="inlineStr">
        <is>
          <t>G-001 scope matrix</t>
        </is>
      </c>
      <c r="H59" s="7" t="inlineStr">
        <is>
          <t>Pad size must match utility documents (L-041)</t>
        </is>
      </c>
    </row>
    <row r="60">
      <c r="A60" s="7" t="inlineStr">
        <is>
          <t>Electrical</t>
        </is>
      </c>
      <c r="B60" s="7" t="inlineStr">
        <is>
          <t>Service equipment type</t>
        </is>
      </c>
      <c r="C60" s="8" t="inlineStr">
        <is>
          <t>Panelboard</t>
        </is>
      </c>
      <c r="D60" s="7" t="inlineStr">
        <is>
          <t>List</t>
        </is>
      </c>
      <c r="E60" s="7" t="inlineStr">
        <is>
          <t>CD50</t>
        </is>
      </c>
      <c r="F60" s="7" t="inlineStr">
        <is>
          <t>SSC</t>
        </is>
      </c>
      <c r="G60" s="7" t="inlineStr">
        <is>
          <t>SLD, E-101 tag SB-1 / PB1</t>
        </is>
      </c>
      <c r="H60" s="7" t="n"/>
    </row>
    <row r="61">
      <c r="A61" s="7" t="inlineStr">
        <is>
          <t>Electrical</t>
        </is>
      </c>
      <c r="B61" s="7" t="inlineStr">
        <is>
          <t>Service equipment tag</t>
        </is>
      </c>
      <c r="C61" s="8" t="inlineStr">
        <is>
          <t>PB1</t>
        </is>
      </c>
      <c r="D61" s="7" t="inlineStr">
        <is>
          <t>Text</t>
        </is>
      </c>
      <c r="E61" s="7" t="inlineStr">
        <is>
          <t>CD50</t>
        </is>
      </c>
      <c r="F61" s="7" t="inlineStr">
        <is>
          <t>SSC</t>
        </is>
      </c>
      <c r="G61" s="7" t="inlineStr">
        <is>
          <t>SLD, schedules, placards</t>
        </is>
      </c>
      <c r="H61" s="7" t="inlineStr">
        <is>
          <t>Template uses SB-1</t>
        </is>
      </c>
    </row>
    <row r="62">
      <c r="A62" s="7" t="inlineStr">
        <is>
          <t>Electrical</t>
        </is>
      </c>
      <c r="B62" s="7" t="inlineStr">
        <is>
          <t>Service equipment bus / main rating</t>
        </is>
      </c>
      <c r="C62" s="8" t="n">
        <v>800</v>
      </c>
      <c r="D62" s="7" t="inlineStr">
        <is>
          <t>A</t>
        </is>
      </c>
      <c r="E62" s="7" t="inlineStr">
        <is>
          <t>CD50</t>
        </is>
      </c>
      <c r="F62" s="7" t="inlineStr">
        <is>
          <t>SSC</t>
        </is>
      </c>
      <c r="G62" s="7" t="inlineStr">
        <is>
          <t>SLD, panel schedule</t>
        </is>
      </c>
      <c r="H62" s="7" t="inlineStr">
        <is>
          <t>Must be at least the cabinet breaker size</t>
        </is>
      </c>
    </row>
    <row r="63">
      <c r="A63" s="7" t="inlineStr">
        <is>
          <t>Electrical</t>
        </is>
      </c>
      <c r="B63" s="7" t="inlineStr">
        <is>
          <t>Service equipment interrupting rating</t>
        </is>
      </c>
      <c r="C63" s="8" t="n">
        <v>65</v>
      </c>
      <c r="D63" s="7" t="inlineStr">
        <is>
          <t>kAIC</t>
        </is>
      </c>
      <c r="E63" s="7" t="inlineStr">
        <is>
          <t>CD50</t>
        </is>
      </c>
      <c r="F63" s="7" t="inlineStr">
        <is>
          <t>SSC</t>
        </is>
      </c>
      <c r="G63" s="7" t="inlineStr">
        <is>
          <t>Panel schedule</t>
        </is>
      </c>
      <c r="H63" s="7" t="inlineStr">
        <is>
          <t>Tesla min 65 kAIC (L-039)</t>
        </is>
      </c>
    </row>
    <row r="64">
      <c r="A64" s="7" t="inlineStr">
        <is>
          <t>Electrical</t>
        </is>
      </c>
      <c r="B64" s="7" t="inlineStr">
        <is>
          <t>CT cabinet with meter socket</t>
        </is>
      </c>
      <c r="C64" s="8" t="inlineStr">
        <is>
          <t>Yes</t>
        </is>
      </c>
      <c r="D64" s="7" t="inlineStr">
        <is>
          <t>List</t>
        </is>
      </c>
      <c r="E64" s="7" t="inlineStr">
        <is>
          <t>CD50</t>
        </is>
      </c>
      <c r="F64" s="7" t="inlineStr">
        <is>
          <t>Utility</t>
        </is>
      </c>
      <c r="G64" s="7" t="inlineStr">
        <is>
          <t>SLD, E-101</t>
        </is>
      </c>
      <c r="H64" s="7" t="n"/>
    </row>
    <row r="65">
      <c r="A65" s="7" t="inlineStr">
        <is>
          <t>Electrical</t>
        </is>
      </c>
      <c r="B65" s="7" t="inlineStr">
        <is>
          <t>Meter location</t>
        </is>
      </c>
      <c r="C65" s="8" t="inlineStr">
        <is>
          <t>Utility rack</t>
        </is>
      </c>
      <c r="D65" s="7" t="inlineStr">
        <is>
          <t>Text</t>
        </is>
      </c>
      <c r="E65" s="7" t="inlineStr">
        <is>
          <t>CD50</t>
        </is>
      </c>
      <c r="F65" s="7" t="inlineStr">
        <is>
          <t>Utility</t>
        </is>
      </c>
      <c r="G65" s="7" t="inlineStr">
        <is>
          <t>E-101</t>
        </is>
      </c>
      <c r="H65" s="7" t="n"/>
    </row>
    <row r="66">
      <c r="A66" s="7" t="inlineStr">
        <is>
          <t>Electrical</t>
        </is>
      </c>
      <c r="B66" s="7" t="inlineStr">
        <is>
          <t>Separate EVSE disconnect (not on cabinet side)</t>
        </is>
      </c>
      <c r="C66" s="8" t="inlineStr">
        <is>
          <t>No</t>
        </is>
      </c>
      <c r="D66" s="7" t="inlineStr">
        <is>
          <t>List</t>
        </is>
      </c>
      <c r="E66" s="7" t="inlineStr">
        <is>
          <t>CD50</t>
        </is>
      </c>
      <c r="F66" s="7" t="inlineStr">
        <is>
          <t>SSC</t>
        </is>
      </c>
      <c r="G66" s="7" t="inlineStr">
        <is>
          <t>SLD, E-101</t>
        </is>
      </c>
      <c r="H66" s="7" t="inlineStr">
        <is>
          <t>L-040: never attach to cabinet side; no EV-Lite or Duraline</t>
        </is>
      </c>
    </row>
    <row r="67">
      <c r="A67" s="7" t="inlineStr">
        <is>
          <t>Electrical</t>
        </is>
      </c>
      <c r="B67" s="7" t="inlineStr">
        <is>
          <t>Grounding electrode</t>
        </is>
      </c>
      <c r="C67" s="8" t="inlineStr">
        <is>
          <t>Ground rods</t>
        </is>
      </c>
      <c r="D67" s="7" t="inlineStr">
        <is>
          <t>List</t>
        </is>
      </c>
      <c r="E67" s="7" t="inlineStr">
        <is>
          <t>CD50</t>
        </is>
      </c>
      <c r="F67" s="7" t="inlineStr">
        <is>
          <t>SSC</t>
        </is>
      </c>
      <c r="G67" s="7" t="inlineStr">
        <is>
          <t>E-501 grounding diagram</t>
        </is>
      </c>
      <c r="H67" s="7" t="n"/>
    </row>
    <row r="68">
      <c r="A68" s="7" t="inlineStr">
        <is>
          <t>Electrical</t>
        </is>
      </c>
      <c r="B68" s="7" t="inlineStr">
        <is>
          <t>AC feeder length, service to cabinet</t>
        </is>
      </c>
      <c r="C68" s="8" t="n"/>
      <c r="D68" s="7" t="inlineStr">
        <is>
          <t>ft</t>
        </is>
      </c>
      <c r="E68" s="7" t="inlineStr">
        <is>
          <t>CD90</t>
        </is>
      </c>
      <c r="F68" s="7" t="inlineStr">
        <is>
          <t>Site plan</t>
        </is>
      </c>
      <c r="G68" s="7" t="inlineStr">
        <is>
          <t>AC circuit schedule</t>
        </is>
      </c>
      <c r="H68" s="7" t="inlineStr">
        <is>
          <t>Template max 600 ft</t>
        </is>
      </c>
    </row>
    <row r="69">
      <c r="A69" s="7" t="inlineStr">
        <is>
          <t>Electrical</t>
        </is>
      </c>
      <c r="B69" s="7" t="inlineStr">
        <is>
          <t>Longest DC run, cabinet to post</t>
        </is>
      </c>
      <c r="C69" s="8" t="n"/>
      <c r="D69" s="7" t="inlineStr">
        <is>
          <t>ft</t>
        </is>
      </c>
      <c r="E69" s="7" t="inlineStr">
        <is>
          <t>CD90</t>
        </is>
      </c>
      <c r="F69" s="7" t="inlineStr">
        <is>
          <t>Site plan</t>
        </is>
      </c>
      <c r="G69" s="7" t="inlineStr">
        <is>
          <t>DC-POST schedule</t>
        </is>
      </c>
      <c r="H69" s="7" t="inlineStr">
        <is>
          <t>Max 330 ft; contact Tesla beyond</t>
        </is>
      </c>
    </row>
    <row r="70">
      <c r="A70" s="5" t="inlineStr">
        <is>
          <t>Site layout</t>
        </is>
      </c>
      <c r="B70" s="6" t="n"/>
      <c r="C70" s="6" t="n"/>
      <c r="D70" s="6" t="n"/>
      <c r="E70" s="6" t="n"/>
      <c r="F70" s="6" t="n"/>
      <c r="G70" s="6" t="n"/>
      <c r="H70" s="6" t="n"/>
    </row>
    <row r="71">
      <c r="A71" s="7" t="inlineStr">
        <is>
          <t>Site layout</t>
        </is>
      </c>
      <c r="B71" s="7" t="inlineStr">
        <is>
          <t>Stall layout</t>
        </is>
      </c>
      <c r="C71" s="8" t="inlineStr">
        <is>
          <t>Perpendicular, head-in</t>
        </is>
      </c>
      <c r="D71" s="7" t="inlineStr">
        <is>
          <t>List</t>
        </is>
      </c>
      <c r="E71" s="7" t="inlineStr">
        <is>
          <t>CD50</t>
        </is>
      </c>
      <c r="F71" s="7" t="inlineStr">
        <is>
          <t>HiON</t>
        </is>
      </c>
      <c r="G71" s="7" t="inlineStr">
        <is>
          <t>E-101</t>
        </is>
      </c>
      <c r="H71" s="7" t="inlineStr">
        <is>
          <t>L-003, L-005</t>
        </is>
      </c>
    </row>
    <row r="72">
      <c r="A72" s="7" t="inlineStr">
        <is>
          <t>Site layout</t>
        </is>
      </c>
      <c r="B72" s="7" t="inlineStr">
        <is>
          <t>Standard EV stall width</t>
        </is>
      </c>
      <c r="C72" s="8" t="inlineStr">
        <is>
          <t>9'-0"</t>
        </is>
      </c>
      <c r="D72" s="7" t="inlineStr">
        <is>
          <t>ft-in</t>
        </is>
      </c>
      <c r="E72" s="7" t="inlineStr">
        <is>
          <t>CD50</t>
        </is>
      </c>
      <c r="F72" s="7" t="inlineStr">
        <is>
          <t>Site plan</t>
        </is>
      </c>
      <c r="G72" s="7" t="inlineStr">
        <is>
          <t>E-101 dimensions</t>
        </is>
      </c>
      <c r="H72" s="7" t="inlineStr">
        <is>
          <t>Min 9 ft O.C. (L-032)</t>
        </is>
      </c>
    </row>
    <row r="73">
      <c r="A73" s="7" t="inlineStr">
        <is>
          <t>Site layout</t>
        </is>
      </c>
      <c r="B73" s="7" t="inlineStr">
        <is>
          <t>Width of stall with post on one side</t>
        </is>
      </c>
      <c r="C73" s="8" t="inlineStr">
        <is>
          <t>10'-6"</t>
        </is>
      </c>
      <c r="D73" s="7" t="inlineStr">
        <is>
          <t>ft-in</t>
        </is>
      </c>
      <c r="E73" s="7" t="inlineStr">
        <is>
          <t>CD50</t>
        </is>
      </c>
      <c r="F73" s="7" t="inlineStr">
        <is>
          <t>Site plan</t>
        </is>
      </c>
      <c r="G73" s="7" t="inlineStr">
        <is>
          <t>E-101 dimensions</t>
        </is>
      </c>
      <c r="H73" s="7" t="inlineStr">
        <is>
          <t>V4: 10'-6" (L-032)</t>
        </is>
      </c>
    </row>
    <row r="74">
      <c r="A74" s="7" t="inlineStr">
        <is>
          <t>Site layout</t>
        </is>
      </c>
      <c r="B74" s="7" t="inlineStr">
        <is>
          <t>Stall depth</t>
        </is>
      </c>
      <c r="C74" s="8" t="inlineStr">
        <is>
          <t>18'-0"</t>
        </is>
      </c>
      <c r="D74" s="7" t="inlineStr">
        <is>
          <t>ft-in</t>
        </is>
      </c>
      <c r="E74" s="7" t="inlineStr">
        <is>
          <t>CD50</t>
        </is>
      </c>
      <c r="F74" s="7" t="inlineStr">
        <is>
          <t>Site plan</t>
        </is>
      </c>
      <c r="G74" s="7" t="inlineStr">
        <is>
          <t>E-101 dimensions</t>
        </is>
      </c>
      <c r="H74" s="7" t="inlineStr">
        <is>
          <t>ADA min 18 ft</t>
        </is>
      </c>
    </row>
    <row r="75">
      <c r="A75" s="7" t="inlineStr">
        <is>
          <t>Site layout</t>
        </is>
      </c>
      <c r="B75" s="7" t="inlineStr">
        <is>
          <t>Drive aisle width</t>
        </is>
      </c>
      <c r="C75" s="8" t="n"/>
      <c r="D75" s="7" t="inlineStr">
        <is>
          <t>ft</t>
        </is>
      </c>
      <c r="E75" s="7" t="inlineStr">
        <is>
          <t>CD50</t>
        </is>
      </c>
      <c r="F75" s="7" t="inlineStr">
        <is>
          <t>Site plan</t>
        </is>
      </c>
      <c r="G75" s="7" t="inlineStr">
        <is>
          <t>E-101</t>
        </is>
      </c>
      <c r="H75" s="7" t="inlineStr">
        <is>
          <t>Check AHJ for one-way aisles</t>
        </is>
      </c>
    </row>
    <row r="76">
      <c r="A76" s="7" t="inlineStr">
        <is>
          <t>Site layout</t>
        </is>
      </c>
      <c r="B76" s="7" t="inlineStr">
        <is>
          <t>Accessible EV stalls</t>
        </is>
      </c>
      <c r="C76" s="8" t="n">
        <v>1</v>
      </c>
      <c r="D76" s="7" t="inlineStr">
        <is>
          <t>Count</t>
        </is>
      </c>
      <c r="E76" s="7" t="inlineStr">
        <is>
          <t>CD50</t>
        </is>
      </c>
      <c r="F76" s="7" t="inlineStr">
        <is>
          <t>AHJ / ADA</t>
        </is>
      </c>
      <c r="G76" s="7" t="inlineStr">
        <is>
          <t>E-101 stall schedule, A-501</t>
        </is>
      </c>
      <c r="H76" s="7" t="n"/>
    </row>
    <row r="77">
      <c r="A77" s="7" t="inlineStr">
        <is>
          <t>Site layout</t>
        </is>
      </c>
      <c r="B77" s="7" t="inlineStr">
        <is>
          <t>Accessible stall detail</t>
        </is>
      </c>
      <c r="C77" s="8" t="inlineStr">
        <is>
          <t>IBC &amp; ADA - standard</t>
        </is>
      </c>
      <c r="D77" s="7" t="inlineStr">
        <is>
          <t>List</t>
        </is>
      </c>
      <c r="E77" s="7" t="inlineStr">
        <is>
          <t>CD50</t>
        </is>
      </c>
      <c r="F77" s="7" t="inlineStr">
        <is>
          <t>AHJ</t>
        </is>
      </c>
      <c r="G77" s="7" t="inlineStr">
        <is>
          <t>A-501 detail pick</t>
        </is>
      </c>
      <c r="H77" s="7" t="inlineStr">
        <is>
          <t>CBC only in California</t>
        </is>
      </c>
    </row>
    <row r="78">
      <c r="A78" s="7" t="inlineStr">
        <is>
          <t>Site layout</t>
        </is>
      </c>
      <c r="B78" s="7" t="inlineStr">
        <is>
          <t>Accessible post tag</t>
        </is>
      </c>
      <c r="C78" s="8" t="n"/>
      <c r="D78" s="7" t="inlineStr">
        <is>
          <t>Text</t>
        </is>
      </c>
      <c r="E78" s="7" t="inlineStr">
        <is>
          <t>CD50</t>
        </is>
      </c>
      <c r="F78" s="7" t="inlineStr">
        <is>
          <t>Site plan</t>
        </is>
      </c>
      <c r="G78" s="7" t="inlineStr">
        <is>
          <t>E-101 stall schedule</t>
        </is>
      </c>
      <c r="H78" s="7" t="inlineStr">
        <is>
          <t>Template sample: 2E</t>
        </is>
      </c>
    </row>
    <row r="79">
      <c r="A79" s="7" t="inlineStr">
        <is>
          <t>Site layout</t>
        </is>
      </c>
      <c r="B79" s="7" t="inlineStr">
        <is>
          <t>Bollards (total)</t>
        </is>
      </c>
      <c r="C79" s="8" t="n">
        <v>10</v>
      </c>
      <c r="D79" s="7" t="inlineStr">
        <is>
          <t>Count</t>
        </is>
      </c>
      <c r="E79" s="7" t="inlineStr">
        <is>
          <t>CD50</t>
        </is>
      </c>
      <c r="F79" s="7" t="inlineStr">
        <is>
          <t>Site plan</t>
        </is>
      </c>
      <c r="G79" s="7" t="inlineStr">
        <is>
          <t>G-001 scope, E-101</t>
        </is>
      </c>
      <c r="H79" s="7" t="inlineStr">
        <is>
          <t>L-010: every post, both sides recommended; verify count vs details</t>
        </is>
      </c>
    </row>
    <row r="80">
      <c r="A80" s="7" t="inlineStr">
        <is>
          <t>Site layout</t>
        </is>
      </c>
      <c r="B80" s="7" t="inlineStr">
        <is>
          <t>Signs</t>
        </is>
      </c>
      <c r="C80" s="8" t="inlineStr">
        <is>
          <t>1 ADA sign with bollard</t>
        </is>
      </c>
      <c r="D80" s="7" t="inlineStr">
        <is>
          <t>Text</t>
        </is>
      </c>
      <c r="E80" s="7" t="inlineStr">
        <is>
          <t>CD50</t>
        </is>
      </c>
      <c r="F80" s="7" t="inlineStr">
        <is>
          <t>AHJ</t>
        </is>
      </c>
      <c r="G80" s="7" t="inlineStr">
        <is>
          <t>G-001 scope, A-501</t>
        </is>
      </c>
      <c r="H80" s="7" t="inlineStr">
        <is>
          <t>L-008: only ADA sign unless AHJ requires; prefer light pole</t>
        </is>
      </c>
    </row>
    <row r="81">
      <c r="A81" s="7" t="inlineStr">
        <is>
          <t>Site layout</t>
        </is>
      </c>
      <c r="B81" s="7" t="inlineStr">
        <is>
          <t>Restriping needed</t>
        </is>
      </c>
      <c r="C81" s="8" t="n"/>
      <c r="D81" s="7" t="inlineStr">
        <is>
          <t>List</t>
        </is>
      </c>
      <c r="E81" s="7" t="inlineStr">
        <is>
          <t>CD50</t>
        </is>
      </c>
      <c r="F81" s="7" t="inlineStr">
        <is>
          <t>Site plan</t>
        </is>
      </c>
      <c r="G81" s="7" t="inlineStr">
        <is>
          <t>E-101</t>
        </is>
      </c>
      <c r="H81" s="7" t="n"/>
    </row>
    <row r="82">
      <c r="A82" s="5" t="inlineStr">
        <is>
          <t>Structural</t>
        </is>
      </c>
      <c r="B82" s="6" t="n"/>
      <c r="C82" s="6" t="n"/>
      <c r="D82" s="6" t="n"/>
      <c r="E82" s="6" t="n"/>
      <c r="F82" s="6" t="n"/>
      <c r="G82" s="6" t="n"/>
      <c r="H82" s="6" t="n"/>
    </row>
    <row r="83">
      <c r="A83" s="7" t="inlineStr">
        <is>
          <t>Structural</t>
        </is>
      </c>
      <c r="B83" s="7" t="inlineStr">
        <is>
          <t>Post foundation</t>
        </is>
      </c>
      <c r="C83" s="8" t="inlineStr">
        <is>
          <t>Cast-in-place, 107 mph max</t>
        </is>
      </c>
      <c r="D83" s="7" t="inlineStr">
        <is>
          <t>List</t>
        </is>
      </c>
      <c r="E83" s="7" t="inlineStr">
        <is>
          <t>CD50</t>
        </is>
      </c>
      <c r="F83" s="7" t="inlineStr">
        <is>
          <t>SSC</t>
        </is>
      </c>
      <c r="G83" s="7" t="inlineStr">
        <is>
          <t>S-501/502 detail pick</t>
        </is>
      </c>
      <c r="H83" s="7" t="inlineStr">
        <is>
          <t>Cast-in-place only (L-037)</t>
        </is>
      </c>
    </row>
    <row r="84">
      <c r="A84" s="7" t="inlineStr">
        <is>
          <t>Structural</t>
        </is>
      </c>
      <c r="B84" s="7" t="inlineStr">
        <is>
          <t>Design wind speed (ultimate)</t>
        </is>
      </c>
      <c r="C84" s="8" t="n"/>
      <c r="D84" s="7" t="inlineStr">
        <is>
          <t>mph</t>
        </is>
      </c>
      <c r="E84" s="7" t="inlineStr">
        <is>
          <t>CD90</t>
        </is>
      </c>
      <c r="F84" s="7" t="inlineStr">
        <is>
          <t>ASCE hazard tool</t>
        </is>
      </c>
      <c r="G84" s="7" t="inlineStr">
        <is>
          <t>S-501 design criteria, foundation pick</t>
        </is>
      </c>
      <c r="H84" s="7" t="n"/>
    </row>
    <row r="85">
      <c r="A85" s="7" t="inlineStr">
        <is>
          <t>Structural</t>
        </is>
      </c>
      <c r="B85" s="7" t="inlineStr">
        <is>
          <t>Wind exposure</t>
        </is>
      </c>
      <c r="C85" s="8" t="n"/>
      <c r="D85" s="7" t="inlineStr">
        <is>
          <t>List</t>
        </is>
      </c>
      <c r="E85" s="7" t="inlineStr">
        <is>
          <t>CD90</t>
        </is>
      </c>
      <c r="F85" s="7" t="inlineStr">
        <is>
          <t>ASCE hazard tool</t>
        </is>
      </c>
      <c r="G85" s="7" t="inlineStr">
        <is>
          <t>S-501</t>
        </is>
      </c>
      <c r="H85" s="7" t="n"/>
    </row>
    <row r="86">
      <c r="A86" s="7" t="inlineStr">
        <is>
          <t>Structural</t>
        </is>
      </c>
      <c r="B86" s="7" t="inlineStr">
        <is>
          <t>Risk category</t>
        </is>
      </c>
      <c r="C86" s="8" t="inlineStr">
        <is>
          <t>II</t>
        </is>
      </c>
      <c r="D86" s="7" t="inlineStr">
        <is>
          <t>List</t>
        </is>
      </c>
      <c r="E86" s="7" t="inlineStr">
        <is>
          <t>CD90</t>
        </is>
      </c>
      <c r="F86" s="7" t="inlineStr">
        <is>
          <t>SEOR</t>
        </is>
      </c>
      <c r="G86" s="7" t="inlineStr">
        <is>
          <t>S-501</t>
        </is>
      </c>
      <c r="H86" s="7" t="n"/>
    </row>
    <row r="87">
      <c r="A87" s="7" t="inlineStr">
        <is>
          <t>Structural</t>
        </is>
      </c>
      <c r="B87" s="7" t="inlineStr">
        <is>
          <t>Ground snow load</t>
        </is>
      </c>
      <c r="C87" s="8" t="n"/>
      <c r="D87" s="7" t="inlineStr">
        <is>
          <t>psf</t>
        </is>
      </c>
      <c r="E87" s="7" t="inlineStr">
        <is>
          <t>CD90</t>
        </is>
      </c>
      <c r="F87" s="7" t="inlineStr">
        <is>
          <t>ASCE hazard tool</t>
        </is>
      </c>
      <c r="G87" s="7" t="inlineStr">
        <is>
          <t>S-501, pad type</t>
        </is>
      </c>
      <c r="H87" s="7" t="n"/>
    </row>
    <row r="88">
      <c r="A88" s="7" t="inlineStr">
        <is>
          <t>Structural</t>
        </is>
      </c>
      <c r="B88" s="7" t="inlineStr">
        <is>
          <t>Cabinet pad section</t>
        </is>
      </c>
      <c r="C88" s="8" t="inlineStr">
        <is>
          <t>No-snow</t>
        </is>
      </c>
      <c r="D88" s="7" t="inlineStr">
        <is>
          <t>List</t>
        </is>
      </c>
      <c r="E88" s="7" t="inlineStr">
        <is>
          <t>CD90</t>
        </is>
      </c>
      <c r="F88" s="7" t="inlineStr">
        <is>
          <t>SEOR</t>
        </is>
      </c>
      <c r="G88" s="7" t="inlineStr">
        <is>
          <t>S-501 pad detail</t>
        </is>
      </c>
      <c r="H88" s="7" t="n"/>
    </row>
    <row r="89">
      <c r="A89" s="7" t="inlineStr">
        <is>
          <t>Structural</t>
        </is>
      </c>
      <c r="B89" s="7" t="inlineStr">
        <is>
          <t>Seismic site class</t>
        </is>
      </c>
      <c r="C89" s="8" t="inlineStr">
        <is>
          <t>D</t>
        </is>
      </c>
      <c r="D89" s="7" t="inlineStr">
        <is>
          <t>List</t>
        </is>
      </c>
      <c r="E89" s="7" t="inlineStr">
        <is>
          <t>CD90</t>
        </is>
      </c>
      <c r="F89" s="7" t="inlineStr">
        <is>
          <t>Geotech / default</t>
        </is>
      </c>
      <c r="G89" s="7" t="inlineStr">
        <is>
          <t>S-501</t>
        </is>
      </c>
      <c r="H89" s="7" t="inlineStr">
        <is>
          <t>Template default D</t>
        </is>
      </c>
    </row>
    <row r="90">
      <c r="A90" s="7" t="inlineStr">
        <is>
          <t>Structural</t>
        </is>
      </c>
      <c r="B90" s="7" t="inlineStr">
        <is>
          <t>Seismic design category</t>
        </is>
      </c>
      <c r="C90" s="8" t="n"/>
      <c r="D90" s="7" t="inlineStr">
        <is>
          <t>Text</t>
        </is>
      </c>
      <c r="E90" s="7" t="inlineStr">
        <is>
          <t>CD90</t>
        </is>
      </c>
      <c r="F90" s="7" t="inlineStr">
        <is>
          <t>ASCE hazard tool</t>
        </is>
      </c>
      <c r="G90" s="7" t="inlineStr">
        <is>
          <t>S-501</t>
        </is>
      </c>
      <c r="H90" s="7" t="n"/>
    </row>
    <row r="91">
      <c r="A91" s="7" t="inlineStr">
        <is>
          <t>Structural</t>
        </is>
      </c>
      <c r="B91" s="7" t="inlineStr">
        <is>
          <t>Allowable soil bearing pressure</t>
        </is>
      </c>
      <c r="C91" s="8" t="n">
        <v>1500</v>
      </c>
      <c r="D91" s="7" t="inlineStr">
        <is>
          <t>psf</t>
        </is>
      </c>
      <c r="E91" s="7" t="inlineStr">
        <is>
          <t>CD90</t>
        </is>
      </c>
      <c r="F91" s="7" t="inlineStr">
        <is>
          <t>Geotech / default</t>
        </is>
      </c>
      <c r="G91" s="7" t="inlineStr">
        <is>
          <t>S-501</t>
        </is>
      </c>
      <c r="H91" s="7" t="inlineStr">
        <is>
          <t>Template assumes 1,500 psf</t>
        </is>
      </c>
    </row>
    <row r="92">
      <c r="A92" s="5" t="inlineStr">
        <is>
          <t>Schedule</t>
        </is>
      </c>
      <c r="B92" s="6" t="n"/>
      <c r="C92" s="6" t="n"/>
      <c r="D92" s="6" t="n"/>
      <c r="E92" s="6" t="n"/>
      <c r="F92" s="6" t="n"/>
      <c r="G92" s="6" t="n"/>
      <c r="H92" s="6" t="n"/>
    </row>
    <row r="93">
      <c r="A93" s="7" t="inlineStr">
        <is>
          <t>Schedule</t>
        </is>
      </c>
      <c r="B93" s="7" t="inlineStr">
        <is>
          <t>Expected equipment delivery</t>
        </is>
      </c>
      <c r="C93" s="8" t="n"/>
      <c r="D93" s="7" t="inlineStr">
        <is>
          <t>Date</t>
        </is>
      </c>
      <c r="E93" s="7" t="inlineStr">
        <is>
          <t>CD90</t>
        </is>
      </c>
      <c r="F93" s="7" t="inlineStr">
        <is>
          <t>HiON</t>
        </is>
      </c>
      <c r="G93" s="7" t="inlineStr">
        <is>
          <t>Tesla Design Review Checklist</t>
        </is>
      </c>
      <c r="H93" s="7" t="inlineStr">
        <is>
          <t>Delivery form needs 4 weeks lead</t>
        </is>
      </c>
    </row>
    <row r="94">
      <c r="A94" s="7" t="inlineStr">
        <is>
          <t>Schedule</t>
        </is>
      </c>
      <c r="B94" s="7" t="inlineStr">
        <is>
          <t>Planned construction start</t>
        </is>
      </c>
      <c r="C94" s="8" t="n"/>
      <c r="D94" s="7" t="inlineStr">
        <is>
          <t>Date</t>
        </is>
      </c>
      <c r="E94" s="7" t="inlineStr">
        <is>
          <t>CD90</t>
        </is>
      </c>
      <c r="F94" s="7" t="inlineStr">
        <is>
          <t>HiON</t>
        </is>
      </c>
      <c r="G94" s="7" t="inlineStr">
        <is>
          <t>Tesla Design Review Checklist</t>
        </is>
      </c>
      <c r="H94" s="7" t="n"/>
    </row>
    <row r="95">
      <c r="A95" s="7" t="inlineStr">
        <is>
          <t>Schedule</t>
        </is>
      </c>
      <c r="B95" s="7" t="inlineStr">
        <is>
          <t>Planned commissioning request</t>
        </is>
      </c>
      <c r="C95" s="8" t="n"/>
      <c r="D95" s="7" t="inlineStr">
        <is>
          <t>Date</t>
        </is>
      </c>
      <c r="E95" s="7" t="inlineStr">
        <is>
          <t>CD90</t>
        </is>
      </c>
      <c r="F95" s="7" t="inlineStr">
        <is>
          <t>HiON</t>
        </is>
      </c>
      <c r="G95" s="7" t="inlineStr">
        <is>
          <t>Tesla Design Review Checklist</t>
        </is>
      </c>
      <c r="H95" s="7" t="n"/>
    </row>
    <row r="96">
      <c r="A96" s="7" t="inlineStr">
        <is>
          <t>Schedule</t>
        </is>
      </c>
      <c r="B96" s="7" t="inlineStr">
        <is>
          <t>Open to public</t>
        </is>
      </c>
      <c r="C96" s="8" t="n"/>
      <c r="D96" s="7" t="inlineStr">
        <is>
          <t>Date</t>
        </is>
      </c>
      <c r="E96" s="7" t="inlineStr">
        <is>
          <t>CD90</t>
        </is>
      </c>
      <c r="F96" s="7" t="inlineStr">
        <is>
          <t>HiON</t>
        </is>
      </c>
      <c r="G96" s="7" t="inlineStr">
        <is>
          <t>Tesla Design Review Checklist</t>
        </is>
      </c>
      <c r="H96" s="7" t="n"/>
    </row>
  </sheetData>
  <autoFilter ref="A1:H96"/>
  <dataValidations count="17">
    <dataValidation sqref="C8" showDropDown="0" showInputMessage="0" showErrorMessage="0" allowBlank="1" type="list">
      <formula1>=L_Stage</formula1>
    </dataValidation>
    <dataValidation sqref="C15" showDropDown="0" showInputMessage="0" showErrorMessage="0" allowBlank="1" type="list">
      <formula1>=L_States</formula1>
    </dataValidation>
    <dataValidation sqref="C25 C26 C64 C66 C81" showDropDown="0" showInputMessage="0" showErrorMessage="0" allowBlank="1" type="list">
      <formula1>=L_YesNo</formula1>
    </dataValidation>
    <dataValidation sqref="C43" showDropDown="0" showInputMessage="0" showErrorMessage="0" allowBlank="1" type="list">
      <formula1>=L_CabinetModel</formula1>
    </dataValidation>
    <dataValidation sqref="C45" showDropDown="0" showInputMessage="0" showErrorMessage="0" allowBlank="1" type="list">
      <formula1>=L_PostModel</formula1>
    </dataValidation>
    <dataValidation sqref="C47" showDropDown="0" showInputMessage="0" showErrorMessage="0" allowBlank="1" type="list">
      <formula1>=L_Nameplate</formula1>
    </dataValidation>
    <dataValidation sqref="C54" showDropDown="0" showInputMessage="0" showErrorMessage="0" allowBlank="1" type="list">
      <formula1>=L_ServiceType</formula1>
    </dataValidation>
    <dataValidation sqref="C60" showDropDown="0" showInputMessage="0" showErrorMessage="0" allowBlank="1" type="list">
      <formula1>=L_ServiceEquip</formula1>
    </dataValidation>
    <dataValidation sqref="C62" showDropDown="0" showInputMessage="0" showErrorMessage="0" allowBlank="1" type="list">
      <formula1>=L_StdOCPD</formula1>
    </dataValidation>
    <dataValidation sqref="C67" showDropDown="0" showInputMessage="0" showErrorMessage="0" allowBlank="1" type="list">
      <formula1>=L_Grounding</formula1>
    </dataValidation>
    <dataValidation sqref="C71" showDropDown="0" showInputMessage="0" showErrorMessage="0" allowBlank="1" type="list">
      <formula1>=L_StallLayout</formula1>
    </dataValidation>
    <dataValidation sqref="C77" showDropDown="0" showInputMessage="0" showErrorMessage="0" allowBlank="1" type="list">
      <formula1>=L_ADAType</formula1>
    </dataValidation>
    <dataValidation sqref="C83" showDropDown="0" showInputMessage="0" showErrorMessage="0" allowBlank="1" type="list">
      <formula1>=L_Foundation</formula1>
    </dataValidation>
    <dataValidation sqref="C85" showDropDown="0" showInputMessage="0" showErrorMessage="0" allowBlank="1" type="list">
      <formula1>=L_Exposure</formula1>
    </dataValidation>
    <dataValidation sqref="C86" showDropDown="0" showInputMessage="0" showErrorMessage="0" allowBlank="1" type="list">
      <formula1>=L_RiskCat</formula1>
    </dataValidation>
    <dataValidation sqref="C88" showDropDown="0" showInputMessage="0" showErrorMessage="0" allowBlank="1" type="list">
      <formula1>=L_PadType</formula1>
    </dataValidation>
    <dataValidation sqref="C89" showDropDown="0" showInputMessage="0" showErrorMessage="0" allowBlank="1" type="list">
      <formula1>=L_SiteClass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0" customWidth="1" min="3" max="3"/>
    <col width="80" customWidth="1" min="4" max="4"/>
  </cols>
  <sheetData>
    <row r="1">
      <c r="A1" s="9" t="inlineStr">
        <is>
          <t>Value</t>
        </is>
      </c>
      <c r="B1" s="9" t="inlineStr">
        <is>
          <t>Result</t>
        </is>
      </c>
      <c r="C1" s="9" t="inlineStr">
        <is>
          <t>Units</t>
        </is>
      </c>
      <c r="D1" s="9" t="inlineStr">
        <is>
          <t>How it is calculated</t>
        </is>
      </c>
    </row>
    <row r="2">
      <c r="A2" s="10" t="inlineStr">
        <is>
          <t>Cabinet nameplate kVA</t>
        </is>
      </c>
      <c r="B2" s="11">
        <f>IFERROR(VALUE(LEFT(nameplate,FIND(" ",nameplate)-1)),"")</f>
        <v/>
      </c>
      <c r="C2" s="10" t="inlineStr">
        <is>
          <t>kVA</t>
        </is>
      </c>
      <c r="D2" s="7" t="inlineStr">
        <is>
          <t>From the nameplate choice</t>
        </is>
      </c>
    </row>
    <row r="3">
      <c r="A3" s="10" t="inlineStr">
        <is>
          <t>Cabinet nameplate max AC input</t>
        </is>
      </c>
      <c r="B3" s="11">
        <f>IFERROR(VALUE(MID(nameplate,FIND("/",nameplate)+2,FIND(" A",nameplate,FIND("/",nameplate))-FIND("/",nameplate)-2)),"")</f>
        <v/>
      </c>
      <c r="C3" s="10" t="inlineStr">
        <is>
          <t>A</t>
        </is>
      </c>
      <c r="D3" s="7" t="inlineStr">
        <is>
          <t>From the nameplate choice</t>
        </is>
      </c>
    </row>
    <row r="4">
      <c r="A4" s="10" t="inlineStr">
        <is>
          <t>Cabinet weight for pad design</t>
        </is>
      </c>
      <c r="B4" s="11">
        <f>IF(np_kva="","",IF(np_kva&lt;=625,2337,2712))</f>
        <v/>
      </c>
      <c r="C4" s="10" t="inlineStr">
        <is>
          <t>lbs</t>
        </is>
      </c>
      <c r="D4" s="7" t="inlineStr">
        <is>
          <t>Tesla V4 template S-501: 2,337 lbs (4-post), 2,712 lbs (8-post). L-037</t>
        </is>
      </c>
    </row>
    <row r="5">
      <c r="A5" s="10" t="inlineStr">
        <is>
          <t>Commissioned AC input current</t>
        </is>
      </c>
      <c r="B5" s="11">
        <f>IF(setting_kva="","",ROUND(setting_kva*1000/(480*SQRT(3)),0))</f>
        <v/>
      </c>
      <c r="C5" s="10" t="inlineStr">
        <is>
          <t>A</t>
        </is>
      </c>
      <c r="D5" s="7" t="inlineStr">
        <is>
          <t>kVA x 1000 / (480 V x 1.732)</t>
        </is>
      </c>
    </row>
    <row r="6">
      <c r="A6" s="10" t="inlineStr">
        <is>
          <t>Derated below nameplate?</t>
        </is>
      </c>
      <c r="B6" s="11">
        <f>IF(OR(setting_kva="",np_kva=""),"",IF(setting_kva&lt;np_kva-1,"Yes","No"))</f>
        <v/>
      </c>
      <c r="C6" s="10" t="inlineStr"/>
      <c r="D6" s="7" t="inlineStr">
        <is>
          <t>Yes means the set needs Tesla's derate table (L-039)</t>
        </is>
      </c>
    </row>
    <row r="7">
      <c r="A7" s="10" t="inlineStr">
        <is>
          <t>Minimum cabinet breaker (125%)</t>
        </is>
      </c>
      <c r="B7" s="11">
        <f>IF(set_amps="","",set_amps*1.25)</f>
        <v/>
      </c>
      <c r="C7" s="10" t="inlineStr">
        <is>
          <t>A</t>
        </is>
      </c>
      <c r="D7" s="7" t="inlineStr">
        <is>
          <t>Continuous load x 1.25</t>
        </is>
      </c>
    </row>
    <row r="8">
      <c r="A8" s="10" t="inlineStr">
        <is>
          <t>Cabinet breaker size (next standard)</t>
        </is>
      </c>
      <c r="B8" s="11">
        <f>IF(ocpd_min="","",INDEX(L_StdOCPD,MATCH(TRUE,INDEX(L_StdOCPD&gt;=ocpd_min,0),0)))</f>
        <v/>
      </c>
      <c r="C8" s="10" t="inlineStr">
        <is>
          <t>A</t>
        </is>
      </c>
      <c r="D8" s="7" t="inlineStr">
        <is>
          <t>Next standard size per NEC 240.6</t>
        </is>
      </c>
    </row>
    <row r="9">
      <c r="A9" s="10" t="inlineStr">
        <is>
          <t>Tesla SLD sheet to start from</t>
        </is>
      </c>
      <c r="B9" s="11">
        <f>IF(cab_qty="","",IF(cab_qty&gt;1,"E-202 (multiple cabinets)",IF(np_kva&lt;=625,"E-201 (one 750 A cabinet, 4 posts)","E-203 (one 1500 A cabinet, 8 posts)")))</f>
        <v/>
      </c>
      <c r="C9" s="10" t="inlineStr"/>
      <c r="D9" s="7" t="inlineStr">
        <is>
          <t>Tesla V4 template variants</t>
        </is>
      </c>
    </row>
    <row r="10">
      <c r="A10" s="10" t="inlineStr">
        <is>
          <t>Available fault current at secondary</t>
        </is>
      </c>
      <c r="B10" s="11">
        <f>IF(OR(xfmr_kva="",xfmr_z=""),"",ROUND(xfmr_kva*1000/(SQRT(3)*480*xfmr_z/100),0))</f>
        <v/>
      </c>
      <c r="C10" s="10" t="inlineStr">
        <is>
          <t>A</t>
        </is>
      </c>
      <c r="D10" s="7" t="inlineStr">
        <is>
          <t>Infinite primary assumption, as in the Tesla template AFC note</t>
        </is>
      </c>
    </row>
    <row r="11">
      <c r="A11" s="10" t="inlineStr">
        <is>
          <t>Fault-current-limiting fuses needed?</t>
        </is>
      </c>
      <c r="B11" s="11">
        <f>IF(afc="","",IF(afc&gt;34000,"Yes","No"))</f>
        <v/>
      </c>
      <c r="C11" s="10" t="inlineStr"/>
      <c r="D11" s="7" t="inlineStr">
        <is>
          <t>Cabinet SCCR is 34 kA; template adds (3) Mersen A4BQ fuses when AFC is higher</t>
        </is>
      </c>
    </row>
    <row r="12">
      <c r="A12" s="10" t="inlineStr">
        <is>
          <t>Tesla System Controller needed?</t>
        </is>
      </c>
      <c r="B12" s="11">
        <f>IF(cab_model="","",IF(cab_model="V4","No","Yes"))</f>
        <v/>
      </c>
      <c r="C12" s="10" t="inlineStr"/>
      <c r="D12" s="7" t="inlineStr">
        <is>
          <t>L-001: none with V4 cabinet; V3/V3.5 on its own rack, 15/2 breaker</t>
        </is>
      </c>
    </row>
    <row r="13">
      <c r="A13" s="10" t="inlineStr">
        <is>
          <t>Neutral to cabinet?</t>
        </is>
      </c>
      <c r="B13" s="11">
        <f>IF(cab_model="","",IF(cab_model="V4","No","Per cabinet datasheet"))</f>
        <v/>
      </c>
      <c r="C13" s="10" t="inlineStr"/>
      <c r="D13" s="7" t="inlineStr">
        <is>
          <t>V4 cabinet is 3-wire (L-039)</t>
        </is>
      </c>
    </row>
    <row r="14">
      <c r="A14" s="10" t="inlineStr">
        <is>
          <t>Posts per cabinet</t>
        </is>
      </c>
      <c r="B14" s="11">
        <f>IF(OR(post_qty="",cab_qty=""),"",post_qty/cab_qty)</f>
        <v/>
      </c>
      <c r="C14" s="10" t="inlineStr"/>
      <c r="D14" s="7" t="inlineStr">
        <is>
          <t>V4 cabinet supports up to 8</t>
        </is>
      </c>
    </row>
    <row r="15">
      <c r="A15" s="10" t="inlineStr">
        <is>
          <t>DC-POST circuits</t>
        </is>
      </c>
      <c r="B15" s="11">
        <f>IF(post_qty="","",post_qty)</f>
        <v/>
      </c>
      <c r="C15" s="10" t="inlineStr"/>
      <c r="D15" s="7" t="inlineStr">
        <is>
          <t>One 4" conduit per post: (4) 600 kcmil AL, EGC, Tesla signal wire (L-038)</t>
        </is>
      </c>
    </row>
    <row r="16">
      <c r="A16" s="10" t="inlineStr">
        <is>
          <t>G-001 title line</t>
        </is>
      </c>
      <c r="B16" s="11">
        <f>IF(site_name="","","TESLA SUPERCHARGER "&amp;city&amp;", "&amp;state&amp;" - "&amp;addr)</f>
        <v/>
      </c>
      <c r="C16" s="10" t="inlineStr"/>
      <c r="D16" s="7" t="inlineStr">
        <is>
          <t>Template title format</t>
        </is>
      </c>
    </row>
    <row r="17">
      <c r="A17" s="10" t="inlineStr">
        <is>
          <t>G-001 scope: posts</t>
        </is>
      </c>
      <c r="B17" s="11">
        <f>IF(post_qty="","","INSTALL ("&amp;post_qty&amp;") "&amp;post_model&amp;" SUPERCHARGER POSTS")</f>
        <v/>
      </c>
      <c r="C17" s="10" t="inlineStr"/>
      <c r="D17" s="7" t="inlineStr"/>
    </row>
    <row r="18">
      <c r="A18" s="10" t="inlineStr">
        <is>
          <t>G-001 scope: cabinets</t>
        </is>
      </c>
      <c r="B18" s="11">
        <f>IF(cab_qty="","","INSTALL ("&amp;cab_qty&amp;") "&amp;cab_model&amp;" SUPERCHARGER CABINET"&amp;IF(cab_qty&gt;1,"S",""))</f>
        <v/>
      </c>
      <c r="C18" s="10" t="inlineStr"/>
      <c r="D18" s="7" t="inlineStr"/>
    </row>
    <row r="19">
      <c r="A19" s="10" t="inlineStr">
        <is>
          <t>G-001 scope: service</t>
        </is>
      </c>
      <c r="B19" s="11">
        <f>IF(svc_amps="","","INSTALL (1) "&amp;svc_amps&amp;"A "&amp;UPPER(svc_equip)&amp;" """&amp;svc_name&amp;"""")</f>
        <v/>
      </c>
      <c r="C19" s="10" t="inlineStr"/>
      <c r="D19" s="7" t="inlineStr"/>
    </row>
    <row r="20">
      <c r="A20" s="10" t="inlineStr">
        <is>
          <t>G-001 scope: bollards</t>
        </is>
      </c>
      <c r="B20" s="11">
        <f>IF(bollards="","","INSTALL ("&amp;bollards&amp;") BOLLARDS")</f>
        <v/>
      </c>
      <c r="C20" s="10" t="inlineStr"/>
      <c r="D20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2" customWidth="1" min="3" max="3"/>
    <col width="60" customWidth="1" min="4" max="4"/>
  </cols>
  <sheetData>
    <row r="1">
      <c r="A1" s="9" t="inlineStr">
        <is>
          <t>Lesson</t>
        </is>
      </c>
      <c r="B1" s="9" t="inlineStr">
        <is>
          <t>Check</t>
        </is>
      </c>
      <c r="C1" s="9" t="inlineStr">
        <is>
          <t>Result</t>
        </is>
      </c>
      <c r="D1" s="9" t="inlineStr">
        <is>
          <t>How</t>
        </is>
      </c>
    </row>
    <row r="2">
      <c r="A2" s="10" t="inlineStr">
        <is>
          <t>L-001</t>
        </is>
      </c>
      <c r="B2" s="7" t="inlineStr">
        <is>
          <t>TSC shown only when Derived says it is needed (none with V4)</t>
        </is>
      </c>
      <c r="C2" s="11" t="inlineStr">
        <is>
          <t>MANUAL</t>
        </is>
      </c>
      <c r="D2" s="7" t="inlineStr">
        <is>
          <t>Search the set for 'system controller' (Golden Rev 2 cover still lists one with a V4 cabinet)</t>
        </is>
      </c>
    </row>
    <row r="3">
      <c r="A3" s="10" t="inlineStr">
        <is>
          <t>L-012</t>
        </is>
      </c>
      <c r="B3" s="7" t="inlineStr">
        <is>
          <t>Cabinet and post model match the contract on every sheet</t>
        </is>
      </c>
      <c r="C3" s="11" t="inlineStr">
        <is>
          <t>MANUAL</t>
        </is>
      </c>
      <c r="D3" s="7" t="inlineStr">
        <is>
          <t>Elevations, details, dims, footprints</t>
        </is>
      </c>
    </row>
    <row r="4">
      <c r="A4" s="10" t="inlineStr">
        <is>
          <t>L-039</t>
        </is>
      </c>
      <c r="B4" s="7" t="inlineStr">
        <is>
          <t>Service equipment rating covers the cabinet breaker</t>
        </is>
      </c>
      <c r="C4" s="11">
        <f>IF(OR(svc_amps="",ocpd=""),"",IF(svc_amps&gt;=ocpd,"PASS","CHECK"))</f>
        <v/>
      </c>
      <c r="D4" s="7" t="inlineStr">
        <is>
          <t>Service rating &gt;= derived breaker size</t>
        </is>
      </c>
    </row>
    <row r="5">
      <c r="A5" s="10" t="inlineStr">
        <is>
          <t>L-039</t>
        </is>
      </c>
      <c r="B5" s="7" t="inlineStr">
        <is>
          <t>Derate table shown when derated</t>
        </is>
      </c>
      <c r="C5" s="11">
        <f>IF(derated="Yes","CHECK","PASS")</f>
        <v/>
      </c>
      <c r="D5" s="7" t="inlineStr">
        <is>
          <t>Manual when derated: Tesla derate table on SLD sheet</t>
        </is>
      </c>
    </row>
    <row r="6">
      <c r="A6" s="10" t="inlineStr">
        <is>
          <t>L-039</t>
        </is>
      </c>
      <c r="B6" s="7" t="inlineStr">
        <is>
          <t>Cabinet rating labeled the same on every sheet</t>
        </is>
      </c>
      <c r="C6" s="11" t="inlineStr">
        <is>
          <t>MANUAL</t>
        </is>
      </c>
      <c r="D6" s="7" t="inlineStr">
        <is>
          <t>Cleveland Rev 1 shows 500 A, 600 A and 499 kVA on different sheets</t>
        </is>
      </c>
    </row>
    <row r="7">
      <c r="A7" s="10" t="inlineStr">
        <is>
          <t>L-039</t>
        </is>
      </c>
      <c r="B7" s="7" t="inlineStr">
        <is>
          <t>Fault current known and below 34 kA, or fuses shown</t>
        </is>
      </c>
      <c r="C7" s="11">
        <f>IF(afc="","CHECK",IF(afc&lt;=34000,"PASS",IF(fuses="Yes","CHECK","CHECK")))</f>
        <v/>
      </c>
      <c r="D7" s="7" t="inlineStr">
        <is>
          <t>Needs transformer kVA and %Z</t>
        </is>
      </c>
    </row>
    <row r="8">
      <c r="A8" s="10" t="inlineStr">
        <is>
          <t>L-039</t>
        </is>
      </c>
      <c r="B8" s="7" t="inlineStr">
        <is>
          <t>Service equipment at least 65 kAIC</t>
        </is>
      </c>
      <c r="C8" s="11">
        <f>IF(kaic="","",IF(kaic&gt;=65,"PASS","CHECK"))</f>
        <v/>
      </c>
      <c r="D8" s="7" t="inlineStr"/>
    </row>
    <row r="9">
      <c r="A9" s="10" t="inlineStr">
        <is>
          <t>L-037</t>
        </is>
      </c>
      <c r="B9" s="7" t="inlineStr">
        <is>
          <t>Pad design uses the right cabinet weight</t>
        </is>
      </c>
      <c r="C9" s="11" t="inlineStr">
        <is>
          <t>MANUAL</t>
        </is>
      </c>
      <c r="D9" s="7" t="inlineStr">
        <is>
          <t>Compare detail weight with Derived cabinet weight (Cleveland shows 2,420 lbs)</t>
        </is>
      </c>
    </row>
    <row r="10">
      <c r="A10" s="10" t="inlineStr">
        <is>
          <t>L-032</t>
        </is>
      </c>
      <c r="B10" s="7" t="inlineStr">
        <is>
          <t>Standard stall width at least 9 ft; post-side stall 10'-6" (V4)</t>
        </is>
      </c>
      <c r="C10" s="11" t="inlineStr">
        <is>
          <t>MANUAL</t>
        </is>
      </c>
      <c r="D10" s="7" t="inlineStr">
        <is>
          <t>Dimension both on E-101</t>
        </is>
      </c>
    </row>
    <row r="11">
      <c r="A11" s="10" t="inlineStr">
        <is>
          <t>L-031</t>
        </is>
      </c>
      <c r="B11" s="7" t="inlineStr">
        <is>
          <t>Post cable terminus centered in stall and dimensioned</t>
        </is>
      </c>
      <c r="C11" s="11" t="inlineStr">
        <is>
          <t>MANUAL</t>
        </is>
      </c>
      <c r="D11" s="7" t="inlineStr"/>
    </row>
    <row r="12">
      <c r="A12" s="10" t="inlineStr">
        <is>
          <t>L-033</t>
        </is>
      </c>
      <c r="B12" s="7" t="inlineStr">
        <is>
          <t>ADA stall and aisle max 2% slope shown</t>
        </is>
      </c>
      <c r="C12" s="11" t="inlineStr">
        <is>
          <t>MANUAL</t>
        </is>
      </c>
      <c r="D12" s="7" t="inlineStr">
        <is>
          <t>Grading or spot elevations</t>
        </is>
      </c>
    </row>
    <row r="13">
      <c r="A13" s="10" t="inlineStr">
        <is>
          <t>L-034</t>
        </is>
      </c>
      <c r="B13" s="7" t="inlineStr">
        <is>
          <t>ADA details: 30x48 clear space, 48" max reach, post flush</t>
        </is>
      </c>
      <c r="C13" s="11" t="inlineStr">
        <is>
          <t>MANUAL</t>
        </is>
      </c>
      <c r="D13" s="7" t="inlineStr">
        <is>
          <t>Use A-501 detail chosen on Intake</t>
        </is>
      </c>
    </row>
    <row r="14">
      <c r="A14" s="10" t="inlineStr">
        <is>
          <t>L-010</t>
        </is>
      </c>
      <c r="B14" s="7" t="inlineStr">
        <is>
          <t>Bollard count matches scope and details</t>
        </is>
      </c>
      <c r="C14" s="11" t="inlineStr">
        <is>
          <t>MANUAL</t>
        </is>
      </c>
      <c r="D14" s="7" t="inlineStr">
        <is>
          <t>Compare with Intake bollards</t>
        </is>
      </c>
    </row>
    <row r="15">
      <c r="A15" s="10" t="inlineStr">
        <is>
          <t>L-035</t>
        </is>
      </c>
      <c r="B15" s="7" t="inlineStr">
        <is>
          <t>Clearances: cabinet 3 ft sides, 5 ft front; transformer clear of shrubs</t>
        </is>
      </c>
      <c r="C15" s="11" t="inlineStr">
        <is>
          <t>MANUAL</t>
        </is>
      </c>
      <c r="D15" s="7" t="inlineStr"/>
    </row>
    <row r="16">
      <c r="A16" s="10" t="inlineStr">
        <is>
          <t>L-036</t>
        </is>
      </c>
      <c r="B16" s="7" t="inlineStr">
        <is>
          <t>Survey shows underground lines and easements at equipment</t>
        </is>
      </c>
      <c r="C16" s="11">
        <f>IF(survey="Yes","PASS","CHECK")</f>
        <v/>
      </c>
      <c r="D16" s="7" t="inlineStr"/>
    </row>
    <row r="17">
      <c r="A17" s="10" t="inlineStr">
        <is>
          <t>L-007</t>
        </is>
      </c>
      <c r="B17" s="7" t="inlineStr">
        <is>
          <t>Cabinet clearance outside public right of way</t>
        </is>
      </c>
      <c r="C17" s="11">
        <f>IF(row_near="No","PASS","CHECK")</f>
        <v/>
      </c>
      <c r="D17" s="7" t="inlineStr"/>
    </row>
    <row r="18">
      <c r="A18" s="10" t="inlineStr">
        <is>
          <t>L-040</t>
        </is>
      </c>
      <c r="B18" s="7" t="inlineStr">
        <is>
          <t>No EV-Lite or Duraline; nothing mounted on cabinet side</t>
        </is>
      </c>
      <c r="C18" s="11" t="inlineStr">
        <is>
          <t>MANUAL</t>
        </is>
      </c>
      <c r="D18" s="7" t="inlineStr"/>
    </row>
    <row r="19">
      <c r="A19" s="10" t="inlineStr">
        <is>
          <t>L-041</t>
        </is>
      </c>
      <c r="B19" s="7" t="inlineStr">
        <is>
          <t>Utility point of connection shown; transformer pad matches utility</t>
        </is>
      </c>
      <c r="C19" s="11" t="inlineStr">
        <is>
          <t>MANUAL</t>
        </is>
      </c>
      <c r="D19" s="7" t="inlineStr"/>
    </row>
    <row r="20">
      <c r="A20" s="10" t="inlineStr">
        <is>
          <t>L-042</t>
        </is>
      </c>
      <c r="B20" s="7" t="inlineStr">
        <is>
          <t>Code editions match AHJ adoption</t>
        </is>
      </c>
      <c r="C20" s="11" t="inlineStr">
        <is>
          <t>MANUAL</t>
        </is>
      </c>
      <c r="D20" s="7" t="inlineStr">
        <is>
          <t>Verify Intake code rows</t>
        </is>
      </c>
    </row>
    <row r="21">
      <c r="A21" s="10" t="inlineStr">
        <is>
          <t>L-042</t>
        </is>
      </c>
      <c r="B21" s="7" t="inlineStr">
        <is>
          <t>Sheet index matches sheets; no references to missing sheets</t>
        </is>
      </c>
      <c r="C21" s="11" t="inlineStr">
        <is>
          <t>MANUAL</t>
        </is>
      </c>
      <c r="D21" s="7" t="inlineStr">
        <is>
          <t>Cleveland C-3.0 points to 'Sheet CD-2'</t>
        </is>
      </c>
    </row>
    <row r="22">
      <c r="A22" s="10" t="inlineStr">
        <is>
          <t>L-004</t>
        </is>
      </c>
      <c r="B22" s="7" t="inlineStr">
        <is>
          <t>Every plan to scale with scale bar and north arrow</t>
        </is>
      </c>
      <c r="C22" s="11" t="inlineStr">
        <is>
          <t>MANUAL</t>
        </is>
      </c>
      <c r="D22" s="7" t="inlineStr"/>
    </row>
    <row r="23">
      <c r="A23" s="10" t="inlineStr">
        <is>
          <t>L-013</t>
        </is>
      </c>
      <c r="B23" s="7" t="inlineStr">
        <is>
          <t>Future cabinets and posts stated; stub-ups shown</t>
        </is>
      </c>
      <c r="C23" s="11">
        <f>IF(OR(future_cab="",future_post=""),"CHECK","PASS")</f>
        <v/>
      </c>
      <c r="D23" s="7" t="inlineStr"/>
    </row>
    <row r="24">
      <c r="A24" s="10" t="inlineStr">
        <is>
          <t>L-022</t>
        </is>
      </c>
      <c r="B24" s="7" t="inlineStr">
        <is>
          <t>Design Review Checklist filled and attached with CD90</t>
        </is>
      </c>
      <c r="C24" s="11" t="inlineStr">
        <is>
          <t>MANUAL</t>
        </is>
      </c>
      <c r="D24" s="7" t="inlineStr">
        <is>
          <t>Schedule tab dates feed it</t>
        </is>
      </c>
    </row>
    <row r="25">
      <c r="A25" s="10" t="inlineStr">
        <is>
          <t>L-021</t>
        </is>
      </c>
      <c r="B25" s="7" t="inlineStr">
        <is>
          <t>Send to Tesla as attachments, not Drive or Dropbox links</t>
        </is>
      </c>
      <c r="C25" s="11" t="inlineStr">
        <is>
          <t>MANUAL</t>
        </is>
      </c>
      <c r="D25" s="7" t="inlineStr"/>
    </row>
    <row r="26">
      <c r="A26" s="10" t="inlineStr"/>
      <c r="B26" s="7" t="inlineStr">
        <is>
          <t>DC run lengths within 330 ft</t>
        </is>
      </c>
      <c r="C26" s="11">
        <f>IF(dc_len="","CHECK",IF(dc_len&lt;=330,"PASS","CHECK"))</f>
        <v/>
      </c>
      <c r="D26" s="7" t="inlineStr">
        <is>
          <t>Contact Tesla if longer</t>
        </is>
      </c>
    </row>
    <row r="27">
      <c r="A27" s="10" t="inlineStr"/>
      <c r="B27" s="7" t="inlineStr">
        <is>
          <t>Posts per cabinet at most 8</t>
        </is>
      </c>
      <c r="C27" s="11">
        <f>IF(posts_per_cab="","",IF(posts_per_cab&lt;=8,"PASS","CHECK"))</f>
        <v/>
      </c>
      <c r="D27" s="7" t="inlineStr"/>
    </row>
  </sheetData>
  <conditionalFormatting sqref="C2:C27">
    <cfRule type="expression" priority="1" dxfId="0">
      <formula>C2="PASS"</formula>
    </cfRule>
    <cfRule type="expression" priority="2" dxfId="1">
      <formula>OR(C2="CHECK",C2="MANUAL")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8" customWidth="1" min="6" max="6"/>
    <col width="14" customWidth="1" min="7" max="7"/>
    <col width="14" customWidth="1" min="8" max="8"/>
    <col width="46" customWidth="1" min="9" max="9"/>
    <col width="35" customWidth="1" min="10" max="10"/>
    <col width="39" customWidth="1" min="11" max="11"/>
    <col width="14" customWidth="1" min="12" max="12"/>
    <col width="4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2" t="inlineStr">
        <is>
          <t>YesNo</t>
        </is>
      </c>
      <c r="B1" s="12" t="inlineStr">
        <is>
          <t>States</t>
        </is>
      </c>
      <c r="C1" s="12" t="inlineStr">
        <is>
          <t>CabinetModel</t>
        </is>
      </c>
      <c r="D1" s="12" t="inlineStr">
        <is>
          <t>PostModel</t>
        </is>
      </c>
      <c r="E1" s="12" t="inlineStr">
        <is>
          <t>Nameplate</t>
        </is>
      </c>
      <c r="F1" s="12" t="inlineStr">
        <is>
          <t>ServiceType</t>
        </is>
      </c>
      <c r="G1" s="12" t="inlineStr">
        <is>
          <t>ServiceEquip</t>
        </is>
      </c>
      <c r="H1" s="12" t="inlineStr">
        <is>
          <t>StdOCPD</t>
        </is>
      </c>
      <c r="I1" s="12" t="inlineStr">
        <is>
          <t>StallLayout</t>
        </is>
      </c>
      <c r="J1" s="12" t="inlineStr">
        <is>
          <t>ADAType</t>
        </is>
      </c>
      <c r="K1" s="12" t="inlineStr">
        <is>
          <t>Foundation</t>
        </is>
      </c>
      <c r="L1" s="12" t="inlineStr">
        <is>
          <t>PadType</t>
        </is>
      </c>
      <c r="M1" s="12" t="inlineStr">
        <is>
          <t>Grounding</t>
        </is>
      </c>
      <c r="N1" s="12" t="inlineStr">
        <is>
          <t>Stage</t>
        </is>
      </c>
      <c r="O1" s="12" t="inlineStr">
        <is>
          <t>RiskCat</t>
        </is>
      </c>
      <c r="P1" s="12" t="inlineStr">
        <is>
          <t>Exposure</t>
        </is>
      </c>
      <c r="Q1" s="12" t="inlineStr">
        <is>
          <t>SiteClass</t>
        </is>
      </c>
    </row>
    <row r="2">
      <c r="A2" t="inlineStr">
        <is>
          <t>Yes</t>
        </is>
      </c>
      <c r="B2" t="inlineStr">
        <is>
          <t>AL</t>
        </is>
      </c>
      <c r="C2" t="inlineStr">
        <is>
          <t>V4</t>
        </is>
      </c>
      <c r="D2" t="inlineStr">
        <is>
          <t>V4</t>
        </is>
      </c>
      <c r="E2" t="inlineStr">
        <is>
          <t>625 kVA / 750 A</t>
        </is>
      </c>
      <c r="F2" t="inlineStr">
        <is>
          <t>New service</t>
        </is>
      </c>
      <c r="G2" t="inlineStr">
        <is>
          <t>Panelboard</t>
        </is>
      </c>
      <c r="H2" t="n">
        <v>400</v>
      </c>
      <c r="I2" t="inlineStr">
        <is>
          <t>Perpendicular, head-in</t>
        </is>
      </c>
      <c r="J2" t="inlineStr">
        <is>
          <t>IBC &amp; ADA - on the line</t>
        </is>
      </c>
      <c r="K2" t="inlineStr">
        <is>
          <t>Cast-in-place, 107 mph max</t>
        </is>
      </c>
      <c r="L2" t="inlineStr">
        <is>
          <t>No-snow</t>
        </is>
      </c>
      <c r="M2" t="inlineStr">
        <is>
          <t>Ground rods</t>
        </is>
      </c>
      <c r="N2" t="inlineStr">
        <is>
          <t>CD50</t>
        </is>
      </c>
      <c r="O2" t="inlineStr">
        <is>
          <t>I</t>
        </is>
      </c>
      <c r="P2" t="inlineStr">
        <is>
          <t>B</t>
        </is>
      </c>
      <c r="Q2" t="inlineStr">
        <is>
          <t>A</t>
        </is>
      </c>
    </row>
    <row r="3">
      <c r="A3" t="inlineStr">
        <is>
          <t>No</t>
        </is>
      </c>
      <c r="B3" t="inlineStr">
        <is>
          <t>AK</t>
        </is>
      </c>
      <c r="C3" t="inlineStr">
        <is>
          <t>V3.5</t>
        </is>
      </c>
      <c r="D3" t="inlineStr">
        <is>
          <t>V3</t>
        </is>
      </c>
      <c r="E3" t="inlineStr">
        <is>
          <t>998 kVA / 1200 A</t>
        </is>
      </c>
      <c r="F3" t="inlineStr">
        <is>
          <t>Existing service</t>
        </is>
      </c>
      <c r="G3" t="inlineStr">
        <is>
          <t>Switchboard</t>
        </is>
      </c>
      <c r="H3" t="n">
        <v>450</v>
      </c>
      <c r="I3" t="inlineStr">
        <is>
          <t>Perpendicular, back-in</t>
        </is>
      </c>
      <c r="J3" t="inlineStr">
        <is>
          <t>IBC &amp; ADA - standard</t>
        </is>
      </c>
      <c r="K3" t="inlineStr">
        <is>
          <t>Cast-in-place, 135 mph max</t>
        </is>
      </c>
      <c r="L3" t="inlineStr">
        <is>
          <t>Snow country</t>
        </is>
      </c>
      <c r="M3" t="inlineStr">
        <is>
          <t>Concrete-encased electrode (CIP pads only)</t>
        </is>
      </c>
      <c r="N3" t="inlineStr">
        <is>
          <t>CD90</t>
        </is>
      </c>
      <c r="O3" t="inlineStr">
        <is>
          <t>II</t>
        </is>
      </c>
      <c r="P3" t="inlineStr">
        <is>
          <t>C</t>
        </is>
      </c>
      <c r="Q3" t="inlineStr">
        <is>
          <t>B</t>
        </is>
      </c>
    </row>
    <row r="4">
      <c r="B4" t="inlineStr">
        <is>
          <t>AZ</t>
        </is>
      </c>
      <c r="C4" t="inlineStr">
        <is>
          <t>V3</t>
        </is>
      </c>
      <c r="E4" t="inlineStr">
        <is>
          <t>1247 kVA / 1500 A</t>
        </is>
      </c>
      <c r="H4" t="n">
        <v>500</v>
      </c>
      <c r="I4" t="inlineStr">
        <is>
          <t>Pull-through (reverse-in preferred)</t>
        </is>
      </c>
      <c r="J4" t="inlineStr">
        <is>
          <t>IBC &amp; ADA - van</t>
        </is>
      </c>
      <c r="K4" t="inlineStr">
        <is>
          <t>Continuous cast-in-place, 107 mph max</t>
        </is>
      </c>
      <c r="M4" t="inlineStr">
        <is>
          <t>Ground ring</t>
        </is>
      </c>
      <c r="N4" t="inlineStr">
        <is>
          <t>CD100</t>
        </is>
      </c>
      <c r="O4" t="inlineStr">
        <is>
          <t>III</t>
        </is>
      </c>
      <c r="P4" t="inlineStr">
        <is>
          <t>D</t>
        </is>
      </c>
      <c r="Q4" t="inlineStr">
        <is>
          <t>C</t>
        </is>
      </c>
    </row>
    <row r="5">
      <c r="B5" t="inlineStr">
        <is>
          <t>AR</t>
        </is>
      </c>
      <c r="H5" t="n">
        <v>600</v>
      </c>
      <c r="I5" t="inlineStr">
        <is>
          <t>Angled (needs Tesla OK; not with one-way V4)</t>
        </is>
      </c>
      <c r="J5" t="inlineStr">
        <is>
          <t>CBC (California) - van &amp; standard</t>
        </is>
      </c>
      <c r="K5" t="inlineStr">
        <is>
          <t>Continuous cast-in-place, 135 mph max</t>
        </is>
      </c>
      <c r="O5" t="inlineStr">
        <is>
          <t>IV</t>
        </is>
      </c>
      <c r="Q5" t="inlineStr">
        <is>
          <t>D</t>
        </is>
      </c>
    </row>
    <row r="6">
      <c r="B6" t="inlineStr">
        <is>
          <t>CA</t>
        </is>
      </c>
      <c r="H6" t="n">
        <v>700</v>
      </c>
      <c r="Q6" t="inlineStr">
        <is>
          <t>E</t>
        </is>
      </c>
    </row>
    <row r="7">
      <c r="B7" t="inlineStr">
        <is>
          <t>CO</t>
        </is>
      </c>
      <c r="H7" t="n">
        <v>800</v>
      </c>
      <c r="Q7" t="inlineStr">
        <is>
          <t>F</t>
        </is>
      </c>
    </row>
    <row r="8">
      <c r="B8" t="inlineStr">
        <is>
          <t>CT</t>
        </is>
      </c>
      <c r="H8" t="n">
        <v>1000</v>
      </c>
    </row>
    <row r="9">
      <c r="B9" t="inlineStr">
        <is>
          <t>DE</t>
        </is>
      </c>
      <c r="H9" t="n">
        <v>1200</v>
      </c>
    </row>
    <row r="10">
      <c r="B10" t="inlineStr">
        <is>
          <t>FL</t>
        </is>
      </c>
      <c r="H10" t="n">
        <v>1600</v>
      </c>
    </row>
    <row r="11">
      <c r="B11" t="inlineStr">
        <is>
          <t>GA</t>
        </is>
      </c>
      <c r="H11" t="n">
        <v>2000</v>
      </c>
    </row>
    <row r="12">
      <c r="B12" t="inlineStr">
        <is>
          <t>HI</t>
        </is>
      </c>
      <c r="H12" t="n">
        <v>2500</v>
      </c>
    </row>
    <row r="13">
      <c r="B13" t="inlineStr">
        <is>
          <t>ID</t>
        </is>
      </c>
      <c r="H13" t="n">
        <v>3000</v>
      </c>
    </row>
    <row r="14">
      <c r="B14" t="inlineStr">
        <is>
          <t>IL</t>
        </is>
      </c>
      <c r="H14" t="n">
        <v>4000</v>
      </c>
    </row>
    <row r="15">
      <c r="B15" t="inlineStr">
        <is>
          <t>IN</t>
        </is>
      </c>
    </row>
    <row r="16">
      <c r="B16" t="inlineStr">
        <is>
          <t>IA</t>
        </is>
      </c>
    </row>
    <row r="17">
      <c r="B17" t="inlineStr">
        <is>
          <t>KS</t>
        </is>
      </c>
    </row>
    <row r="18">
      <c r="B18" t="inlineStr">
        <is>
          <t>KY</t>
        </is>
      </c>
    </row>
    <row r="19">
      <c r="B19" t="inlineStr">
        <is>
          <t>LA</t>
        </is>
      </c>
    </row>
    <row r="20">
      <c r="B20" t="inlineStr">
        <is>
          <t>ME</t>
        </is>
      </c>
    </row>
    <row r="21">
      <c r="B21" t="inlineStr">
        <is>
          <t>MD</t>
        </is>
      </c>
    </row>
    <row r="22">
      <c r="B22" t="inlineStr">
        <is>
          <t>MA</t>
        </is>
      </c>
    </row>
    <row r="23">
      <c r="B23" t="inlineStr">
        <is>
          <t>MI</t>
        </is>
      </c>
    </row>
    <row r="24">
      <c r="B24" t="inlineStr">
        <is>
          <t>MN</t>
        </is>
      </c>
    </row>
    <row r="25">
      <c r="B25" t="inlineStr">
        <is>
          <t>MS</t>
        </is>
      </c>
    </row>
    <row r="26">
      <c r="B26" t="inlineStr">
        <is>
          <t>MO</t>
        </is>
      </c>
    </row>
    <row r="27">
      <c r="B27" t="inlineStr">
        <is>
          <t>MT</t>
        </is>
      </c>
    </row>
    <row r="28">
      <c r="B28" t="inlineStr">
        <is>
          <t>NE</t>
        </is>
      </c>
    </row>
    <row r="29">
      <c r="B29" t="inlineStr">
        <is>
          <t>NV</t>
        </is>
      </c>
    </row>
    <row r="30">
      <c r="B30" t="inlineStr">
        <is>
          <t>NH</t>
        </is>
      </c>
    </row>
    <row r="31">
      <c r="B31" t="inlineStr">
        <is>
          <t>NJ</t>
        </is>
      </c>
    </row>
    <row r="32">
      <c r="B32" t="inlineStr">
        <is>
          <t>NM</t>
        </is>
      </c>
    </row>
    <row r="33">
      <c r="B33" t="inlineStr">
        <is>
          <t>NY</t>
        </is>
      </c>
    </row>
    <row r="34">
      <c r="B34" t="inlineStr">
        <is>
          <t>NC</t>
        </is>
      </c>
    </row>
    <row r="35">
      <c r="B35" t="inlineStr">
        <is>
          <t>ND</t>
        </is>
      </c>
    </row>
    <row r="36">
      <c r="B36" t="inlineStr">
        <is>
          <t>OH</t>
        </is>
      </c>
    </row>
    <row r="37">
      <c r="B37" t="inlineStr">
        <is>
          <t>OK</t>
        </is>
      </c>
    </row>
    <row r="38">
      <c r="B38" t="inlineStr">
        <is>
          <t>OR</t>
        </is>
      </c>
    </row>
    <row r="39">
      <c r="B39" t="inlineStr">
        <is>
          <t>PA</t>
        </is>
      </c>
    </row>
    <row r="40">
      <c r="B40" t="inlineStr">
        <is>
          <t>RI</t>
        </is>
      </c>
    </row>
    <row r="41">
      <c r="B41" t="inlineStr">
        <is>
          <t>SC</t>
        </is>
      </c>
    </row>
    <row r="42">
      <c r="B42" t="inlineStr">
        <is>
          <t>SD</t>
        </is>
      </c>
    </row>
    <row r="43">
      <c r="B43" t="inlineStr">
        <is>
          <t>TN</t>
        </is>
      </c>
    </row>
    <row r="44">
      <c r="B44" t="inlineStr">
        <is>
          <t>TX</t>
        </is>
      </c>
    </row>
    <row r="45">
      <c r="B45" t="inlineStr">
        <is>
          <t>UT</t>
        </is>
      </c>
    </row>
    <row r="46">
      <c r="B46" t="inlineStr">
        <is>
          <t>VT</t>
        </is>
      </c>
    </row>
    <row r="47">
      <c r="B47" t="inlineStr">
        <is>
          <t>VA</t>
        </is>
      </c>
    </row>
    <row r="48">
      <c r="B48" t="inlineStr">
        <is>
          <t>WA</t>
        </is>
      </c>
    </row>
    <row r="49">
      <c r="B49" t="inlineStr">
        <is>
          <t>WV</t>
        </is>
      </c>
    </row>
    <row r="50">
      <c r="B50" t="inlineStr">
        <is>
          <t>WI</t>
        </is>
      </c>
    </row>
    <row r="51">
      <c r="B51" t="inlineStr">
        <is>
          <t>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2026-10-23T00:33:11Z</dcterms:created>
  <dcterms:modified xmlns:dcterms="http://purl.org/dc/terms/" xmlns:xsi="http://www.w3.org/2001/XMLSchema-instance" xsi:type="dcterms:W3CDTF">2026-10-23T05:54:49Z</dcterms:modified>
</cp:coreProperties>
</file>